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1beb4d43872544f4" /></Relationships>
</file>

<file path=xl/workbook.xml><?xml version="1.0" encoding="utf-8"?>
<x:workbook xmlns:x="http://schemas.openxmlformats.org/spreadsheetml/2006/main">
  <x:sheets>
    <x:sheet xmlns:r="http://schemas.openxmlformats.org/officeDocument/2006/relationships" name="Tong hop" sheetId="1" r:id="R79e10adda49846e1"/>
    <x:sheet xmlns:r="http://schemas.openxmlformats.org/officeDocument/2006/relationships" name="Thong so" sheetId="2" r:id="Reb8fefb09c194326"/>
    <x:sheet xmlns:r="http://schemas.openxmlformats.org/officeDocument/2006/relationships" name="BOM 1 clicker" sheetId="3" r:id="R63b20849ebc942e0"/>
    <x:sheet xmlns:r="http://schemas.openxmlformats.org/officeDocument/2006/relationships" name="Mua sam" sheetId="4" r:id="Rdd87dff272e74f74"/>
    <x:sheet xmlns:r="http://schemas.openxmlformats.org/officeDocument/2006/relationships" name="Gateway va dung cu" sheetId="5" r:id="Rfd83775262594068"/>
    <x:sheet xmlns:r="http://schemas.openxmlformats.org/officeDocument/2006/relationships" name="Gia cong" sheetId="6" r:id="R474f2c8d6365450f"/>
    <x:sheet xmlns:r="http://schemas.openxmlformats.org/officeDocument/2006/relationships" name="Gan chan va thay doi" sheetId="7" r:id="Ra4ee98b2f1b649f0"/>
    <x:sheet xmlns:r="http://schemas.openxmlformats.org/officeDocument/2006/relationships" name="Kiem tra dinh muc" sheetId="8" r:id="Rb7b1f8e408be40da"/>
  </x:sheets>
</x:workbook>
</file>

<file path=xl/comments1.xml><?xml version="1.0" encoding="utf-8"?>
<x:comments xmlns:x="http://schemas.openxmlformats.org/spreadsheetml/2006/main">
  <x:authors>
    <x:author>BOM</x:author>
  </x:authors>
  <x:commentList>
    <x:comment ref="C5" authorId="0">
      <x:text>
        <x:r>
          <x:t>Kit phát triển Promicro NRF52840 (tương thích nice!nano V2), 150.000 đ (29/09/2026).</x:t>
        </x:r>
      </x:text>
    </x:comment>
    <x:comment ref="C14" authorId="0">
      <x:text>
        <x:r>
          <x:t>Trang ghi: 10 chân, Vf 2,2 V, tối đa 25 mA/đoạn; ảnh sơ đồ chân ghi 3261BS (HS210361K-16).</x:t>
        </x:r>
      </x:text>
    </x:comment>
  </x:commentList>
</x:comments>
</file>

<file path=xl/sharedStrings.xml><?xml version="1.0" encoding="utf-8"?>
<x:sst xmlns:x="http://schemas.openxmlformats.org/spreadsheetml/2006/main"/>
</file>

<file path=xl/styles.xml><?xml version="1.0" encoding="utf-8"?>
<x:styleSheet xmlns:x="http://schemas.openxmlformats.org/spreadsheetml/2006/main">
  <x:numFmts count="6">
    <x:numFmt numFmtId="164" formatCode="&quot;$&quot;#,##0.00;-&quot;$&quot;#,##0.00;&quot;-&quot;"/>
    <x:numFmt numFmtId="165" formatCode="#,##0&quot; đ&quot;;-#,##0&quot; đ&quot;;&quot;-&quot;"/>
    <x:numFmt numFmtId="166" formatCode="0.0%"/>
    <x:numFmt numFmtId="200" formatCode="0.0"/>
    <x:numFmt numFmtId="201" formatCode="#,##0"/>
    <x:numFmt numFmtId="202" formatCode="0.00"/>
  </x:numFmts>
  <x:fonts count="14">
    <x:font>
      <x:sz val="11"/>
      <x:color theme="1"/>
      <x:name val="Calibri"/>
    </x:font>
    <x:font>
      <x:b/>
      <x:sz val="14"/>
      <x:color rgb="FF3F5A4B"/>
      <x:name val="Arial"/>
    </x:font>
    <x:font>
      <x:i/>
      <x:sz val="9"/>
      <x:color rgb="FF555555"/>
      <x:name val="Arial"/>
    </x:font>
    <x:font>
      <x:b/>
      <x:sz val="10"/>
      <x:color rgb="FFFFFFFF"/>
      <x:name val="Arial"/>
    </x:font>
    <x:font>
      <x:sz val="10"/>
      <x:name val="Arial"/>
    </x:font>
    <x:font>
      <x:sz val="10"/>
      <x:color rgb="FF0000FF"/>
      <x:name val="Arial"/>
    </x:font>
    <x:font>
      <x:sz val="10"/>
      <x:color rgb="FF0563C1"/>
      <x:name val="Arial"/>
    </x:font>
    <x:font>
      <x:b/>
      <x:sz val="10"/>
      <x:name val="Arial"/>
    </x:font>
    <x:font>
      <x:i/>
      <x:sz val="9"/>
      <x:name val="Arial"/>
    </x:font>
    <x:font>
      <x:sz val="10"/>
      <x:color rgb="FF008000"/>
      <x:name val="Arial"/>
    </x:font>
    <x:font>
      <x:b/>
      <x:sz val="12"/>
      <x:color rgb="FF3F5A4B"/>
      <x:name val="Arial"/>
    </x:font>
    <x:font>
      <x:sz val="10"/>
      <x:color theme="1"/>
      <x:name val="Arial"/>
    </x:font>
    <x:font>
      <x:sz val="9"/>
      <x:color rgb="FF0563C1"/>
      <x:name val="Arial"/>
    </x:font>
    <x:font>
      <x:b/>
      <x:sz val="11"/>
      <x:color rgb="FFFFFFFF"/>
      <x:name val="Calibri"/>
    </x:font>
  </x:fonts>
  <x:fills count="10">
    <x:fill>
      <x:patternFill patternType="none"/>
    </x:fill>
    <x:fill>
      <x:patternFill patternType="gray125"/>
    </x:fill>
    <x:fill>
      <x:patternFill patternType="solid">
        <x:fgColor rgb="FF3F5A4B"/>
      </x:patternFill>
    </x:fill>
    <x:fill>
      <x:patternFill patternType="solid">
        <x:fgColor rgb="FFFFFF00"/>
      </x:patternFill>
    </x:fill>
    <x:fill>
      <x:patternFill patternType="solid">
        <x:fgColor rgb="FFE6EEE8"/>
      </x:patternFill>
    </x:fill>
    <x:fill>
      <x:patternFill patternType="solid">
        <x:fgColor rgb="FFE6F2E6"/>
      </x:patternFill>
    </x:fill>
    <x:fill>
      <x:patternFill patternType="solid">
        <x:fgColor rgb="FFFFF2CC"/>
      </x:patternFill>
    </x:fill>
    <x:fill>
      <x:patternFill patternType="solid">
        <x:fgColor rgb="FFFFF2CC"/>
      </x:patternFill>
    </x:fill>
    <x:fill>
      <x:patternFill patternType="solid">
        <x:fgColor rgb="FF17365D"/>
      </x:patternFill>
    </x:fill>
    <x:fill>
      <x:patternFill patternType="solid">
        <x:fgColor rgb="FFFFF2CC"/>
      </x:patternFill>
    </x:fill>
  </x:fills>
  <x:borders count="2">
    <x:border/>
    <x:border>
      <x:left style="thin">
        <x:color rgb="FFC8D0CA"/>
      </x:left>
      <x:right style="thin">
        <x:color rgb="FFC8D0CA"/>
      </x:right>
      <x:top style="thin">
        <x:color rgb="FFC8D0CA"/>
      </x:top>
      <x:bottom style="thin">
        <x:color rgb="FFC8D0CA"/>
      </x:bottom>
    </x:border>
  </x:borders>
  <x:cellStyleXfs count="1">
    <x:xf numFmtId="0" fontId="0" fillId="0" borderId="0"/>
  </x:cellStyleXfs>
  <x:cellXfs count="64">
    <x:xf numFmtId="0" fontId="0" fillId="0" borderId="0" xfId="0"/>
    <x:xf numFmtId="0" fontId="1" fillId="0" borderId="0" xfId="0"/>
    <x:xf numFmtId="0" fontId="2" fillId="0" borderId="0" xfId="0"/>
    <x:xf numFmtId="0" fontId="3" fillId="2" borderId="1" xfId="0" applyAlignment="1">
      <x:alignment vertical="center" wrapText="1"/>
    </x:xf>
    <x:xf numFmtId="0" fontId="4" fillId="0" borderId="1" xfId="0" applyAlignment="1">
      <x:alignment vertical="top" wrapText="1"/>
    </x:xf>
    <x:xf numFmtId="165" fontId="9" fillId="0" borderId="1" xfId="0" applyAlignment="1">
      <x:alignment vertical="top" wrapText="1"/>
    </x:xf>
    <x:xf numFmtId="0" fontId="7" fillId="4" borderId="1" xfId="0" applyAlignment="1">
      <x:alignment vertical="top" wrapText="1"/>
    </x:xf>
    <x:xf numFmtId="165" fontId="7" fillId="4" borderId="1" xfId="0" applyAlignment="1">
      <x:alignment vertical="top" wrapText="1"/>
    </x:xf>
    <x:xf numFmtId="0" fontId="8" fillId="0" borderId="0" xfId="0"/>
    <x:xf numFmtId="0" fontId="3" fillId="2" borderId="1" xfId="0"/>
    <x:xf numFmtId="3" fontId="5" fillId="3" borderId="1" xfId="0" applyAlignment="1">
      <x:alignment vertical="top" wrapText="1"/>
    </x:xf>
    <x:xf numFmtId="0" fontId="5" fillId="0" borderId="1" xfId="0" applyAlignment="1">
      <x:alignment vertical="top" wrapText="1"/>
    </x:xf>
    <x:xf numFmtId="0" fontId="6" fillId="0" borderId="1" xfId="0" applyAlignment="1">
      <x:alignment vertical="top" wrapText="1"/>
    </x:xf>
    <x:xf numFmtId="164" fontId="4" fillId="0" borderId="1" xfId="0" applyAlignment="1">
      <x:alignment vertical="top" wrapText="1"/>
    </x:xf>
    <x:xf numFmtId="165" fontId="5" fillId="0" borderId="1" xfId="0" applyAlignment="1">
      <x:alignment vertical="top" wrapText="1"/>
    </x:xf>
    <x:xf numFmtId="165" fontId="4" fillId="0" borderId="1" xfId="0" applyAlignment="1">
      <x:alignment vertical="top" wrapText="1"/>
    </x:xf>
    <x:xf numFmtId="0" fontId="7" fillId="0" borderId="0" xfId="0" applyAlignment="1">
      <x:alignment horizontal="right"/>
    </x:xf>
    <x:xf numFmtId="165" fontId="7" fillId="4" borderId="1" xfId="0"/>
    <x:xf numFmtId="166" fontId="7" fillId="4" borderId="1" xfId="0"/>
    <x:xf numFmtId="0" fontId="9" fillId="0" borderId="1" xfId="0" applyAlignment="1">
      <x:alignment vertical="top" wrapText="1"/>
    </x:xf>
    <x:xf numFmtId="0" fontId="7" fillId="0" borderId="0" xfId="0"/>
    <x:xf numFmtId="164" fontId="5" fillId="0" borderId="1" xfId="0" applyAlignment="1">
      <x:alignment vertical="top" wrapText="1"/>
    </x:xf>
    <x:xf numFmtId="165" fontId="0" fillId="0" borderId="1" xfId="0"/>
    <x:xf numFmtId="165" fontId="5" fillId="3" borderId="1" xfId="0"/>
    <x:xf numFmtId="0" fontId="7" fillId="0" borderId="1" xfId="0" applyAlignment="1">
      <x:alignment vertical="top" wrapText="1"/>
    </x:xf>
    <x:xf numFmtId="0" fontId="10" fillId="0" borderId="0" xfId="0"/>
    <x:xf numFmtId="0" fontId="4" fillId="5" borderId="1" xfId="0" applyAlignment="1">
      <x:alignment vertical="top" wrapText="1"/>
    </x:xf>
    <x:xf numFmtId="0" fontId="4" fillId="6" borderId="1" xfId="0" applyAlignment="1">
      <x:alignment vertical="top" wrapText="1"/>
    </x:xf>
    <x:xf numFmtId="0" fontId="1" fillId="0" borderId="0" xfId="0" applyNumberFormat="1" applyFont="1" applyFill="1" applyBorder="1" applyAlignment="1">
      <x:alignment wrapText="1"/>
    </x:xf>
    <x:xf numFmtId="0" fontId="2" fillId="0" borderId="0" xfId="0" applyNumberFormat="1" applyFont="1" applyFill="1" applyBorder="1" applyAlignment="1">
      <x:alignment wrapText="1"/>
    </x:xf>
    <x:xf numFmtId="0" fontId="4" fillId="0"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4" fillId="5" borderId="1" xfId="0" applyNumberFormat="1" applyFont="1" applyFill="1" applyBorder="1" applyAlignment="1">
      <x:alignment vertical="top" wrapText="1"/>
    </x:xf>
    <x:xf numFmtId="0" fontId="4" fillId="6" borderId="1" xfId="0" applyNumberFormat="1" applyFont="1" applyFill="1" applyBorder="1" applyAlignment="1">
      <x:alignment vertical="top" wrapText="1"/>
    </x:xf>
    <x:xf numFmtId="0" fontId="0" fillId="7" borderId="0" xfId="0" applyNumberFormat="1" applyFont="1" applyFill="1" applyBorder="1" applyAlignment="1">
      <x:alignment wrapText="1"/>
    </x:xf>
    <x:xf numFmtId="200" fontId="0" fillId="0" borderId="0" xfId="0" applyNumberFormat="1" applyFont="1" applyFill="1" applyBorder="1" applyAlignment="1">
      <x:alignment wrapText="1"/>
    </x:xf>
    <x:xf numFmtId="0" fontId="11" fillId="0" borderId="0" xfId="0" applyNumberFormat="1" applyFont="1" applyFill="1" applyBorder="1"/>
    <x:xf numFmtId="0" fontId="7" fillId="0" borderId="0" xfId="0" applyNumberFormat="1" applyFont="1" applyFill="1" applyBorder="1" applyAlignment="1">
      <x:alignment horizontal="right"/>
    </x:xf>
    <x:xf numFmtId="165" fontId="7" fillId="4" borderId="1" xfId="0" applyNumberFormat="1" applyFont="1" applyFill="1" applyBorder="1"/>
    <x:xf numFmtId="0" fontId="11" fillId="0" borderId="0" xfId="0" applyNumberFormat="1" applyFont="1" applyFill="1" applyBorder="1" applyAlignment="1">
      <x:alignment wrapText="1"/>
    </x:xf>
    <x:xf numFmtId="0" fontId="7" fillId="0" borderId="0" xfId="0" applyNumberFormat="1" applyFont="1" applyFill="1" applyBorder="1" applyAlignment="1">
      <x:alignment horizontal="right" wrapText="1"/>
    </x:xf>
    <x:xf numFmtId="165" fontId="7" fillId="4" borderId="1" xfId="0" applyNumberFormat="1" applyFont="1" applyFill="1" applyBorder="1" applyAlignment="1">
      <x:alignment wrapText="1"/>
    </x:xf>
    <x:xf numFmtId="0" fontId="11" fillId="0" borderId="0" xfId="0" applyNumberFormat="1" applyFont="1" applyFill="1" applyBorder="1" applyAlignment="1">
      <x:alignment vertical="top" wrapText="1"/>
    </x:xf>
    <x:xf numFmtId="0" fontId="7" fillId="0" borderId="0" xfId="0" applyNumberFormat="1" applyFont="1" applyFill="1" applyBorder="1" applyAlignment="1">
      <x:alignment horizontal="right" vertical="top" wrapText="1"/>
    </x:xf>
    <x:xf numFmtId="165" fontId="7" fillId="4" borderId="1" xfId="0" applyNumberFormat="1" applyFont="1" applyFill="1" applyBorder="1" applyAlignment="1">
      <x:alignment vertical="top" wrapText="1"/>
    </x:xf>
    <x:xf numFmtId="0" fontId="6" fillId="0" borderId="1" xfId="0" applyNumberFormat="1" applyFont="1" applyFill="1" applyBorder="1" applyAlignment="1">
      <x:alignment vertical="top" wrapText="1"/>
    </x:xf>
    <x:xf numFmtId="0" fontId="12" fillId="0" borderId="1" xfId="0" applyNumberFormat="1" applyFont="1" applyFill="1" applyBorder="1" applyAlignment="1">
      <x:alignment vertical="top" wrapText="1"/>
    </x:xf>
    <x:xf numFmtId="0" fontId="12" fillId="0" borderId="0" xfId="0" applyNumberFormat="1" applyFont="1" applyFill="1" applyBorder="1" applyAlignment="1">
      <x:alignment wrapText="1"/>
    </x:xf>
    <x:xf numFmtId="0" fontId="12" fillId="0" borderId="0" xfId="0" applyNumberFormat="1" applyFont="1" applyFill="1" applyBorder="1" applyAlignment="1">
      <x:alignment vertical="top" wrapText="1"/>
    </x:xf>
    <x:xf numFmtId="0" fontId="11" fillId="0" borderId="0" xfId="0" applyNumberFormat="1" applyFont="1" applyFill="1" applyBorder="1" applyAlignment="1">
      <x:alignment horizontal="right" vertical="top" wrapText="1"/>
    </x:xf>
    <x:xf numFmtId="165" fontId="7" fillId="4" borderId="1" xfId="0" applyNumberFormat="1" applyFont="1" applyFill="1" applyBorder="1" applyAlignment="1">
      <x:alignment horizontal="right" vertical="top" wrapText="1"/>
    </x:xf>
    <x:xf numFmtId="201" fontId="11" fillId="0" borderId="0" xfId="0" applyNumberFormat="1" applyFont="1" applyFill="1" applyBorder="1" applyAlignment="1">
      <x:alignment horizontal="right" vertical="top" wrapText="1"/>
    </x:xf>
    <x:xf numFmtId="201" fontId="7" fillId="4" borderId="1" xfId="0" applyNumberFormat="1" applyFont="1" applyFill="1" applyBorder="1" applyAlignment="1">
      <x:alignment horizontal="right" vertical="top" wrapText="1"/>
    </x:xf>
    <x:xf numFmtId="201" fontId="7" fillId="4" borderId="1" xfId="0" applyNumberFormat="1" applyFont="1" applyFill="1" applyBorder="1"/>
    <x:xf numFmtId="201" fontId="0" fillId="0" borderId="0" xfId="0" applyNumberFormat="1" applyFont="1" applyFill="1" applyBorder="1"/>
    <x:xf numFmtId="166" fontId="0" fillId="0" borderId="0" xfId="0" applyNumberFormat="1" applyFont="1" applyFill="1" applyBorder="1"/>
    <x:xf numFmtId="0" fontId="0" fillId="0" borderId="0" xfId="0" applyNumberFormat="1" applyFont="1" applyFill="1" applyBorder="1" applyAlignment="1">
      <x:alignment vertical="center" wrapText="1"/>
    </x:xf>
    <x:xf numFmtId="0" fontId="0" fillId="8" borderId="0" xfId="0" applyNumberFormat="1" applyFont="1" applyFill="1" applyBorder="1" applyAlignment="1">
      <x:alignment vertical="center" wrapText="1"/>
    </x:xf>
    <x:xf numFmtId="0" fontId="13" fillId="8" borderId="0" xfId="0" applyNumberFormat="1" applyFont="1" applyFill="1" applyBorder="1" applyAlignment="1">
      <x:alignment vertical="center" wrapText="1"/>
    </x:xf>
    <x:xf numFmtId="0" fontId="0" fillId="9" borderId="0" xfId="0" applyNumberFormat="1" applyFont="1" applyFill="1" applyBorder="1" applyAlignment="1">
      <x:alignment vertical="center" wrapText="1"/>
    </x:xf>
    <x:xf numFmtId="200" fontId="0" fillId="0" borderId="0" xfId="0" applyNumberFormat="1" applyFont="1" applyFill="1" applyBorder="1" applyAlignment="1">
      <x:alignment vertical="center" wrapText="1"/>
    </x:xf>
    <x:xf numFmtId="202" fontId="0" fillId="0" borderId="0" xfId="0" applyNumberFormat="1" applyFont="1" applyFill="1" applyBorder="1" applyAlignment="1">
      <x:alignment vertical="center" wrapText="1"/>
    </x:xf>
    <x:xf numFmtId="0" fontId="6" fillId="0" borderId="0" xfId="0" applyNumberFormat="1" applyFont="1" applyFill="1" applyBorder="1"/>
    <x:xf numFmtId="0" fontId="6"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6b41e9640ebe4a7f" /><Relationship Type="http://schemas.openxmlformats.org/officeDocument/2006/relationships/theme" Target="/xl/theme/theme1.xml" Id="R6b57cf6735744d81" /><Relationship Type="http://schemas.openxmlformats.org/officeDocument/2006/relationships/sharedStrings" Target="/xl/sharedStrings.xml" Id="R4ce2b8f398ef47c2" /><Relationship Type="http://schemas.openxmlformats.org/officeDocument/2006/relationships/worksheet" Target="/xl/worksheets/sheet1.xml" Id="R79e10adda49846e1" /><Relationship Type="http://schemas.openxmlformats.org/officeDocument/2006/relationships/worksheet" Target="/xl/worksheets/sheet2.xml" Id="Reb8fefb09c194326" /><Relationship Type="http://schemas.openxmlformats.org/officeDocument/2006/relationships/worksheet" Target="/xl/worksheets/sheet3.xml" Id="R63b20849ebc942e0" /><Relationship Type="http://schemas.openxmlformats.org/officeDocument/2006/relationships/worksheet" Target="/xl/worksheets/sheet4.xml" Id="Rdd87dff272e74f74" /><Relationship Type="http://schemas.openxmlformats.org/officeDocument/2006/relationships/worksheet" Target="/xl/worksheets/sheet5.xml" Id="Rfd83775262594068" /><Relationship Type="http://schemas.openxmlformats.org/officeDocument/2006/relationships/worksheet" Target="/xl/worksheets/sheet6.xml" Id="R474f2c8d6365450f" /><Relationship Type="http://schemas.openxmlformats.org/officeDocument/2006/relationships/worksheet" Target="/xl/worksheets/sheet7.xml" Id="Ra4ee98b2f1b649f0" /><Relationship Type="http://schemas.openxmlformats.org/officeDocument/2006/relationships/worksheet" Target="/xl/worksheets/sheet8.xml" Id="Rb7b1f8e408be40da" /><Relationship Type="http://schemas.microsoft.com/office/2017/10/relationships/person" Target="/xl/persons/person.xml" Id="R719f43ca827c4216" /></Relationships>
</file>

<file path=xl/persons/person.xml><?xml version="1.0" encoding="utf-8"?>
<xltc:personList xmlns:xltc="http://schemas.microsoft.com/office/spreadsheetml/2018/threadedcomments">
  <xltc:person displayName="BOM" id="{EA2AC643-47A9-CA70-9AAB-04514D204F72}"/>
</xltc: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xml version='1.0' encoding='utf-8'?>
<ns0:Relationships xmlns:ns0="http://schemas.openxmlformats.org/package/2006/relationships"><ns0:Relationship Type="http://schemas.openxmlformats.org/officeDocument/2006/relationships/hyperlink" Target="https://icdayroi.com/kit-phat-trien-promicro-nrf52840" TargetMode="External" Id="R4d3f7e51996c459f" /><ns0:Relationship Type="http://schemas.openxmlformats.org/officeDocument/2006/relationships/hyperlink" Target="https://icdayroi.com/header-1x40-2-54mm-male" TargetMode="External" Id="R5b8dea8b14d84b84" /><ns0:Relationship Type="http://schemas.openxmlformats.org/officeDocument/2006/relationships/hyperlink" Target="https://icdayroi.com/mach-nguon-tang-ap-dc-0-9-5v-sang-5v-usb" TargetMode="External" Id="R22ded9a80f6947ae" /><ns0:Relationship Type="http://schemas.openxmlformats.org/officeDocument/2006/relationships/hyperlink" Target="https://www.thegioiic.com/day-usb-type-a-duc-noi-xh2-54-2-chan-dai-50cm" TargetMode="External" Id="R45fbe0ac603d4e10" /><ns0:Relationship Type="http://schemas.openxmlformats.org/officeDocument/2006/relationships/hyperlink" Target="https://www.thegioiic.com/hop-pin-khay-pin-2xaa-day-noi-dai-15cm" TargetMode="External" Id="R0ee6e72478f64cb3" /><ns0:Relationship Type="http://schemas.openxmlformats.org/officeDocument/2006/relationships/hyperlink" Target="https://www.thegioiic.com/vi-2-vien-pin-kiem-alkaline-aa-lr6-2pk-voniko-1-5v" TargetMode="External" Id="Rf49c4d7f78644153" /><ns0:Relationship Type="http://schemas.openxmlformats.org/officeDocument/2006/relationships/hyperlink" Target="https://icdayroi.com/tu-dien-22uf-16v-1206-goi-10-con" TargetMode="External" Id="R1bb5eb189ce44ec6" /><ns0:Relationship Type="http://schemas.openxmlformats.org/officeDocument/2006/relationships/hyperlink" Target="https://icdayroi.com/tu-dien-100nf-50v-0603" TargetMode="External" Id="R2cb9cbf77fe84e6e" /><ns0:Relationship Type="http://schemas.openxmlformats.org/officeDocument/2006/relationships/hyperlink" Target="https://icdayroi.com/ao3401" TargetMode="External" Id="R2ebfc5650de44e38" /><ns0:Relationship Type="http://schemas.openxmlformats.org/officeDocument/2006/relationships/hyperlink" Target="https://icdayroi.com/led-7-doan-2-so-0-36inch-anode-chung" TargetMode="External" Id="R1d38265762cc430f" /><ns0:Relationship Type="http://schemas.openxmlformats.org/officeDocument/2006/relationships/hyperlink" Target="https://icdayroi.com/led-red-0603" TargetMode="External" Id="R2dd1c230fc744816" /><ns0:Relationship Type="http://schemas.openxmlformats.org/officeDocument/2006/relationships/hyperlink" Target="https://icdayroi.com/led-green-0603" TargetMode="External" Id="R88510cf0c1ca4629" /><ns0:Relationship Type="http://schemas.openxmlformats.org/officeDocument/2006/relationships/hyperlink" Target="https://www.thegioiic.com/nut-nhan-6x6mm-cao-5mm-2-chan-smd-chong-nuoc" TargetMode="External" Id="Rf31166f3d6614f33" /><ns0:Relationship Type="http://schemas.openxmlformats.org/officeDocument/2006/relationships/hyperlink" Target="https://icdayroi.com/dien-tro-1k-0603-1-goi-50-con" TargetMode="External" Id="Rfcaf1d20f0c64982" /><ns0:Relationship Type="http://schemas.openxmlformats.org/officeDocument/2006/relationships/hyperlink" Target="https://icdayroi.com/dien-tro-470-ohm-0603-1-goi-50-con" TargetMode="External" Id="R9bb2d4b693a74111" /><ns0:Relationship Type="http://schemas.openxmlformats.org/officeDocument/2006/relationships/hyperlink" Target="https://icdayroi.com/1n4148ws" TargetMode="External" Id="R3ab8d4f0f290423c" /><ns0:Relationship Type="http://schemas.openxmlformats.org/officeDocument/2006/relationships/hyperlink" Target="https://icdayroi.com/dien-tro-100k-0603-1-goi-50-con" TargetMode="External" Id="Rd49d9aee90b44d36" /><ns0:Relationship Type="http://schemas.openxmlformats.org/officeDocument/2006/relationships/hyperlink" Target="https://icdayroi.com/tu-dien-10uf-25v-0603" TargetMode="External" Id="R76b36913515f4b79" /><ns0:Relationship Type="http://schemas.openxmlformats.org/officeDocument/2006/relationships/hyperlink" Target="https://icdayroi.com/dien-tro-100ohm-0603-1-goi-50-con" TargetMode="External" Id="R6c5876b4b30a440e" /><ns0:Relationship Type="http://schemas.openxmlformats.org/officeDocument/2006/relationships/hyperlink" Target="https://www.thegioiic.com/day-cap-usb-type-c-duc-2-chan-dai-75mm" TargetMode="External" Id="Re1fd7a86cedd47b7" /><ns0:Relationship Type="http://schemas.openxmlformats.org/officeDocument/2006/relationships/hyperlink" Target="https://www.thegioiic.com/ss-12f23g4-cong-tac-truot-5-chan-xuyen-lo-on-off-chinh-ngang-1p2t-2a" TargetMode="External" Id="R6c4898672d2a43ce" /><ns0:Relationship Type="http://schemas.openxmlformats.org/officeDocument/2006/relationships/comments" Target="/xl/comments1.xml" Id="R0e88eaea4c73424a" /><ns0:Relationship Type="http://schemas.openxmlformats.org/officeDocument/2006/relationships/vmlDrawing" Target="/xl/drawings/vmldrawing.vml" Id="R9564f3caba2a4695" /></ns0:Relationships>
</file>

<file path=xl/worksheets/_rels/sheet4.xml.rels><?xml version='1.0' encoding='utf-8'?>
<ns0:Relationships xmlns:ns0="http://schemas.openxmlformats.org/package/2006/relationships"><ns0:Relationship Type="http://schemas.openxmlformats.org/officeDocument/2006/relationships/hyperlink" Target="https://icdayroi.com/kit-phat-trien-promicro-nrf52840" TargetMode="External" Id="R34deace13d364ce4" /><ns0:Relationship Type="http://schemas.openxmlformats.org/officeDocument/2006/relationships/hyperlink" Target="https://icdayroi.com/header-1x40-2-54mm-male" TargetMode="External" Id="Ra55bad90029e4c8f" /><ns0:Relationship Type="http://schemas.openxmlformats.org/officeDocument/2006/relationships/hyperlink" Target="https://icdayroi.com/mach-nguon-tang-ap-dc-0-9-5v-sang-5v-usb" TargetMode="External" Id="Rd13c2644c2ca4d14" /><ns0:Relationship Type="http://schemas.openxmlformats.org/officeDocument/2006/relationships/hyperlink" Target="https://www.thegioiic.com/day-usb-type-a-duc-noi-xh2-54-2-chan-dai-50cm" TargetMode="External" Id="R6f50806c382f457b" /><ns0:Relationship Type="http://schemas.openxmlformats.org/officeDocument/2006/relationships/hyperlink" Target="https://www.thegioiic.com/hop-pin-khay-pin-2xaa-day-noi-dai-15cm" TargetMode="External" Id="R3468dceeebbf4001" /><ns0:Relationship Type="http://schemas.openxmlformats.org/officeDocument/2006/relationships/hyperlink" Target="https://www.thegioiic.com/vi-2-vien-pin-kiem-alkaline-aa-lr6-2pk-voniko-1-5v" TargetMode="External" Id="R58db51e1d9734f82" /><ns0:Relationship Type="http://schemas.openxmlformats.org/officeDocument/2006/relationships/hyperlink" Target="https://icdayroi.com/tu-dien-22uf-16v-1206-goi-10-con" TargetMode="External" Id="R2c05a9eae1a240b0" /><ns0:Relationship Type="http://schemas.openxmlformats.org/officeDocument/2006/relationships/hyperlink" Target="https://icdayroi.com/tu-dien-100nf-50v-0603" TargetMode="External" Id="R033a158c539e435d" /><ns0:Relationship Type="http://schemas.openxmlformats.org/officeDocument/2006/relationships/hyperlink" Target="https://icdayroi.com/ao3401" TargetMode="External" Id="R378fa8de24314163" /><ns0:Relationship Type="http://schemas.openxmlformats.org/officeDocument/2006/relationships/hyperlink" Target="https://icdayroi.com/led-7-doan-2-so-0-36inch-anode-chung" TargetMode="External" Id="Rbd995fc18e0d4df3" /><ns0:Relationship Type="http://schemas.openxmlformats.org/officeDocument/2006/relationships/hyperlink" Target="https://icdayroi.com/led-red-0603" TargetMode="External" Id="Rfde4a678248143eb" /><ns0:Relationship Type="http://schemas.openxmlformats.org/officeDocument/2006/relationships/hyperlink" Target="https://icdayroi.com/led-green-0603" TargetMode="External" Id="R83397cccf4d3498d" /><ns0:Relationship Type="http://schemas.openxmlformats.org/officeDocument/2006/relationships/hyperlink" Target="https://www.thegioiic.com/nut-nhan-6x6mm-cao-5mm-2-chan-smd-chong-nuoc" TargetMode="External" Id="R62d0d82b63ad458e" /><ns0:Relationship Type="http://schemas.openxmlformats.org/officeDocument/2006/relationships/hyperlink" Target="https://icdayroi.com/dien-tro-1k-0603-1-goi-50-con" TargetMode="External" Id="Raa43c2bcaee746f6" /><ns0:Relationship Type="http://schemas.openxmlformats.org/officeDocument/2006/relationships/hyperlink" Target="https://icdayroi.com/dien-tro-470-ohm-0603-1-goi-50-con" TargetMode="External" Id="R2bcb7c15a9694297" /><ns0:Relationship Type="http://schemas.openxmlformats.org/officeDocument/2006/relationships/hyperlink" Target="https://icdayroi.com/1n4148ws" TargetMode="External" Id="Ra9efe8c9f85d40e0" /><ns0:Relationship Type="http://schemas.openxmlformats.org/officeDocument/2006/relationships/hyperlink" Target="https://icdayroi.com/dien-tro-100k-0603-1-goi-50-con" TargetMode="External" Id="R500cd6b85fce4202" /><ns0:Relationship Type="http://schemas.openxmlformats.org/officeDocument/2006/relationships/hyperlink" Target="https://icdayroi.com/tu-dien-10uf-25v-0603" TargetMode="External" Id="R7b2ec4d210f04874" /><ns0:Relationship Type="http://schemas.openxmlformats.org/officeDocument/2006/relationships/hyperlink" Target="https://icdayroi.com/dien-tro-100ohm-0603-1-goi-50-con" TargetMode="External" Id="Rbb17e4fb0dcf4274" /><ns0:Relationship Type="http://schemas.openxmlformats.org/officeDocument/2006/relationships/hyperlink" Target="https://www.thegioiic.com/day-cap-usb-type-c-duc-2-chan-dai-75mm" TargetMode="External" Id="R7d312e54ebb04fb8" /><ns0:Relationship Type="http://schemas.openxmlformats.org/officeDocument/2006/relationships/hyperlink" Target="https://www.thegioiic.com/ss-12f23g4-cong-tac-truot-5-chan-xuyen-lo-on-off-chinh-ngang-1p2t-2a" TargetMode="External" Id="Rb8c6ba4f1511471e" /></ns0:Relationships>
</file>

<file path=xl/worksheets/_rels/sheet5.xml.rels>&#65279;<?xml version="1.0" encoding="utf-8"?><Relationships xmlns="http://schemas.openxmlformats.org/package/2006/relationships"><Relationship Type="http://schemas.openxmlformats.org/officeDocument/2006/relationships/hyperlink" Target="https://icdayroi.com/kit-phat-trien-promicro-nrf52840" TargetMode="External" Id="R63f7f22e17e140a3"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40" customWidth="1"/>
    <x:col min="2" max="2" width="16" customWidth="1"/>
    <x:col min="3" max="3" width="60" customWidth="1"/>
  </x:cols>
  <x:sheetData>
    <x:row r="1">
      <x:c r="A1" s="1" t="str">
        <x:v>Tổng hợp chi phí ARS nRF52840 — Rev J, lắp thấp</x:v>
      </x:c>
    </x:row>
    <x:row r="2">
      <x:c r="A2" s="2" t="inlineStr">
        <x:is>
          <x:t xml:space="preserve">Mọi con số trên sheet này là công thức lấy từ các sheet khác.</x:t>
        </x:is>
      </x:c>
    </x:row>
    <x:row r="4" ht="32" customHeight="1">
      <x:c r="A4" s="3" t="inlineStr">
        <x:is>
          <x:t xml:space="preserve">Hạng mục</x:t>
        </x:is>
      </x:c>
      <x:c r="B4" s="3" t="inlineStr">
        <x:is>
          <x:t xml:space="preserve">Số tiền (đ)</x:t>
        </x:is>
      </x:c>
      <x:c r="C4" s="3" t="inlineStr">
        <x:is>
          <x:t xml:space="preserve">Ghi chú</x:t>
        </x:is>
      </x:c>
    </x:row>
    <x:row r="5">
      <x:c r="A5" s="4" t="inlineStr">
        <x:is>
          <x:t xml:space="preserve">Linh kiện 1 clicker</x:t>
        </x:is>
      </x:c>
      <x:c r="B5" s="5" t="n">
        <x:f>'BOM 1 clicker'!M28</x:f>
        <x:v>251795</x:v>
      </x:c>
      <x:c r="C5" s="4" t="str">
        <x:v>Gồm 2 AA alkaline Voniko. Chưa tính VAT, giao hàng và gia công.</x:v>
      </x:c>
    </x:row>
    <x:row r="6">
      <x:c r="A6" s="4" t="inlineStr">
        <x:is>
          <x:t xml:space="preserve">Trần cho phép / clicker</x:t>
        </x:is>
      </x:c>
      <x:c r="B6" s="5" t="n">
        <x:f>'Thong so'!$B$8</x:f>
        <x:v>300000</x:v>
      </x:c>
      <x:c r="C6" s="4" t="inlineStr">
        <x:is>
          <x:t xml:space="preserve">Không tính gia công</x:t>
        </x:is>
      </x:c>
    </x:row>
    <x:row r="7">
      <x:c r="A7" s="6" t="inlineStr">
        <x:is>
          <x:t xml:space="preserve">Còn dư / clicker</x:t>
        </x:is>
      </x:c>
      <x:c r="B7" s="7" t="n">
        <x:f>IF(ISNUMBER(B5),B6-B5,"n.a.")</x:f>
        <x:v>48205</x:v>
      </x:c>
      <x:c r="C7" s="4" t="inlineStr">
        <x:is>
          <x:t xml:space="preserve">Âm nghĩa là vượt trần</x:t>
        </x:is>
      </x:c>
    </x:row>
    <x:row r="8">
      <x:c r="A8" s="4" t="inlineStr">
        <x:is>
          <x:t xml:space="preserve">Linh kiện mua cho cả nhóm</x:t>
        </x:is>
      </x:c>
      <x:c r="B8" s="5" t="str">
        <x:f>'Mua sam'!I28</x:f>
        <x:v>n.a.</x:v>
      </x:c>
      <x:c r="C8" s="4" t="inlineStr">
        <x:is>
          <x:t xml:space="preserve">Đã làm tròn lên theo gói</x:t>
        </x:is>
      </x:c>
    </x:row>
    <x:row r="9">
      <x:c r="A9" s="4" t="inlineStr">
        <x:is>
          <x:t xml:space="preserve">Gateway, board thử, trình nạp</x:t>
        </x:is>
      </x:c>
      <x:c r="B9" s="5" t="n">
        <x:f>'Gateway va dung cu'!H8</x:f>
        <x:v>150000</x:v>
      </x:c>
      <x:c r="C9" s="4" t="inlineStr">
        <x:is>
          <x:t xml:space="preserve">Mua một lần</x:t>
        </x:is>
      </x:c>
    </x:row>
    <x:row r="10">
      <x:c r="A10" s="4" t="inlineStr">
        <x:is>
          <x:t xml:space="preserve">Gia công (PCB, stencil, ship, in 3D)</x:t>
        </x:is>
      </x:c>
      <x:c r="B10" s="5" t="n">
        <x:f>'Gia cong'!E10</x:f>
        <x:v>130900</x:v>
      </x:c>
      <x:c r="C10" s="4" t="inlineStr">
        <x:is>
          <x:t xml:space="preserve">Còn thiếu phí ship và in 3D — nhập ở sheet Gia cong</x:t>
        </x:is>
      </x:c>
    </x:row>
    <x:row r="11">
      <x:c r="A11" s="6" t="inlineStr">
        <x:is>
          <x:t xml:space="preserve">Tổng chi của nhóm</x:t>
        </x:is>
      </x:c>
      <x:c r="B11" s="7" t="str">
        <x:f>IF(ISNUMBER(B8),SUM(B8:B10),"n.a.")</x:f>
        <x:v>n.a.</x:v>
      </x:c>
      <x:c r="C11" s="4" t="inlineStr">
        <x:is>
          <x:t xml:space="preserve"/>
        </x:is>
      </x:c>
    </x:row>
    <x:row r="13" ht="71" customHeight="1">
      <x:c r="A13" s="8" t="inlineStr">
        <x:is>
          <x:t xml:space="preserve">Tỷ giá dùng trong file: xem sheet Thong so (Vietcombank, bán tiền mặt, 23/09/2026). Gán chân và điểm khác: xem sheet cuối cùng.</x:t>
        </x:is>
      </x:c>
      <x:c r="C13" s="31" t="str">
        <x:v>Rev J: boost USB ngoài bo qua J5/J6, SW15 trên bo, hai AA. PCB 68×80mm.</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34" customWidth="1"/>
    <x:col min="2" max="2" width="14" customWidth="1"/>
    <x:col min="3" max="3" width="10" customWidth="1"/>
    <x:col min="4" max="4" width="70" customWidth="1"/>
  </x:cols>
  <x:sheetData>
    <x:row r="1">
      <x:c r="A1" s="1" t="inlineStr">
        <x:is>
          <x:t xml:space="preserve">Thông số dùng chung</x:t>
        </x:is>
      </x:c>
    </x:row>
    <x:row r="2">
      <x:c r="A2" s="2" t="inlineStr">
        <x:is>
          <x:t xml:space="preserve">Ô nền vàng là ô bạn được sửa; mọi sheet khác tự tính lại theo các ô này.</x:t>
        </x:is>
      </x:c>
    </x:row>
    <x:row r="4">
      <x:c r="A4" s="9" t="inlineStr">
        <x:is>
          <x:t xml:space="preserve">Thông số</x:t>
        </x:is>
      </x:c>
      <x:c r="B4" s="9" t="inlineStr">
        <x:is>
          <x:t xml:space="preserve">Giá trị</x:t>
        </x:is>
      </x:c>
      <x:c r="C4" s="9" t="inlineStr">
        <x:is>
          <x:t xml:space="preserve">Đơn vị</x:t>
        </x:is>
      </x:c>
      <x:c r="D4" s="9" t="inlineStr">
        <x:is>
          <x:t xml:space="preserve">Nguồn / ghi chú</x:t>
        </x:is>
      </x:c>
    </x:row>
    <x:row r="5">
      <x:c r="A5" s="4" t="inlineStr">
        <x:is>
          <x:t xml:space="preserve">Tỷ giá USD → VND</x:t>
        </x:is>
      </x:c>
      <x:c r="B5" s="10" t="n">
        <x:v>26180</x:v>
      </x:c>
      <x:c r="C5" s="4" t="inlineStr">
        <x:is>
          <x:t xml:space="preserve">đ/USD</x:t>
        </x:is>
      </x:c>
      <x:c r="D5" s="4" t="inlineStr">
        <x:is>
          <x:t xml:space="preserve">Vietcombank, giá bán tiền mặt ngày 23/09/2026 (webgia.com/ty-gia/vietcombank). Thanh toán thẻ quốc tế có thể cao hơn 1–3 %.</x:t>
        </x:is>
      </x:c>
    </x:row>
    <x:row r="6">
      <x:c r="A6" s="4" t="inlineStr">
        <x:is>
          <x:t xml:space="preserve">Số clicker cần làm</x:t>
        </x:is>
      </x:c>
      <x:c r="B6" s="10" t="n">
        <x:v>5</x:v>
      </x:c>
      <x:c r="C6" s="4" t="inlineStr">
        <x:is>
          <x:t xml:space="preserve">chiếc</x:t>
        </x:is>
      </x:c>
      <x:c r="D6" s="4" t="str">
        <x:v>Kế hoạch đang giữ 5 chiếc; chưa phải số lượng đặt hàng đã xác nhận.</x:v>
      </x:c>
    </x:row>
    <x:row r="7">
      <x:c r="A7" s="4" t="inlineStr">
        <x:is>
          <x:t xml:space="preserve">Số clicker dự phòng (linh kiện)</x:t>
        </x:is>
      </x:c>
      <x:c r="B7" s="10" t="n">
        <x:v>1</x:v>
      </x:c>
      <x:c r="C7" s="4" t="inlineStr">
        <x:is>
          <x:t xml:space="preserve">chiếc</x:t>
        </x:is>
      </x:c>
      <x:c r="D7" s="4" t="inlineStr">
        <x:is>
          <x:t xml:space="preserve">Mua dư linh kiện cho 1 bộ để thay khi hàn hỏng.</x:t>
        </x:is>
      </x:c>
    </x:row>
    <x:row r="8">
      <x:c r="A8" s="4" t="inlineStr">
        <x:is>
          <x:t xml:space="preserve">Trần chi phí linh kiện / clicker</x:t>
        </x:is>
      </x:c>
      <x:c r="B8" s="10" t="n">
        <x:v>300000</x:v>
      </x:c>
      <x:c r="C8" s="4" t="inlineStr">
        <x:is>
          <x:t xml:space="preserve">đ</x:t>
        </x:is>
      </x:c>
      <x:c r="D8" s="4" t="str">
        <x:v>Ngân sách linh kiện 300.000đ/remote theo yêu cầu. Không gồm PCB, vỏ, vận chuyển.</x:v>
      </x:c>
    </x:row>
    <x:row r="10">
      <x:c r="A10" t="str">
        <x:v>Khảo sát thời gian thay pin — chưa đo nguồn Rev J</x:v>
      </x:c>
    </x:row>
    <x:row r="12" ht="55" customHeight="1">
      <x:c r="A12" s="31" t="str">
        <x:v>Thông số</x:v>
      </x:c>
      <x:c r="B12" s="31" t="str">
        <x:v>Giá trị</x:v>
      </x:c>
      <x:c r="C12" s="31" t="str">
        <x:v>Đơn vị</x:v>
      </x:c>
      <x:c r="D12" s="31" t="str">
        <x:v>Nguồn / giả định</x:v>
      </x:c>
    </x:row>
    <x:row r="13" ht="55" customHeight="1">
      <x:c r="A13" s="31" t="str">
        <x:v>Dung lượng sử dụng bộ 2×AA alkaline</x:v>
      </x:c>
      <x:c r="B13" s="34" t="n">
        <x:v>2000</x:v>
      </x:c>
      <x:c r="C13" s="31" t="str">
        <x:v>mAh</x:v>
      </x:c>
      <x:c r="D13" s="31" t="str">
        <x:v>Giả định tính toán 2.000 mAh, không phải thông số được bảo đảm của Voniko. Khoảng khảo sát 1.500–2.500 mAh; ngừng dùng khi bộ pin yếu khoảng 2 V. Hai viên nối tiếp không cộng mAh.</x:v>
      </x:c>
    </x:row>
    <x:row r="14" ht="55" customHeight="1">
      <x:c r="A14" s="31" t="str">
        <x:v>Dòng trung bình tại đầu pin khi bật</x:v>
      </x:c>
      <x:c r="B14" s="34" t="n">
        <x:v>7.5</x:v>
      </x:c>
      <x:c r="C14" s="31" t="str">
        <x:v>mA</x:v>
      </x:c>
      <x:c r="D14" s="31" t="str">
        <x:v>Giả định khảo sát, KHÔNG phải số đo của nguồn Rev J. Module USB có IQ chưa công bố. Nhập dòng đo tại đầu pin khi chạy phím/LED/BLE.</x:v>
      </x:c>
    </x:row>
    <x:row r="15" ht="55" customHeight="1">
      <x:c r="A15" s="31" t="str">
        <x:v>Giờ bật / ngày học</x:v>
      </x:c>
      <x:c r="B15" s="34" t="n">
        <x:v>4</x:v>
      </x:c>
      <x:c r="C15" s="31" t="str">
        <x:v>giờ</x:v>
      </x:c>
      <x:c r="D15" s="31" t="str">
        <x:v>Tắt công tắc khi không sử dụng.</x:v>
      </x:c>
    </x:row>
    <x:row r="16" ht="55" customHeight="1">
      <x:c r="A16" s="31" t="str">
        <x:v>Ngày học / tuần</x:v>
      </x:c>
      <x:c r="B16" s="34" t="n">
        <x:v>5</x:v>
      </x:c>
      <x:c r="C16" s="31" t="str">
        <x:v>ngày</x:v>
      </x:c>
      <x:c r="D16" s="31" t="str">
        <x:v>Có thể sửa theo lịch thực tế.</x:v>
      </x:c>
    </x:row>
    <x:row r="17" ht="55" customHeight="1">
      <x:c r="A17" s="31" t="str">
        <x:v>Thời gian bật tới lần thay pin</x:v>
      </x:c>
      <x:c r="B17" s="35" t="n">
        <x:f>B13/B14</x:f>
        <x:v>266.6666666666667</x:v>
      </x:c>
      <x:c r="C17" s="31" t="str">
        <x:v>giờ</x:v>
      </x:c>
      <x:c r="D17" s="31" t="str">
        <x:v>Dung lượng sử dụng chia dòng trung bình.</x:v>
      </x:c>
    </x:row>
    <x:row r="18" ht="55" customHeight="1">
      <x:c r="A18" s="31" t="str">
        <x:v>Thời gian theo lịch học</x:v>
      </x:c>
      <x:c r="B18" s="35" t="n">
        <x:f>B17/(B15*B16)</x:f>
        <x:v>13.333333333333334</x:v>
      </x:c>
      <x:c r="C18" s="31" t="str">
        <x:v>tuần</x:v>
      </x:c>
      <x:c r="D18" s="31" t="str">
        <x:v>Không bao gồm thất thoát khi lưu kho, thay sớm do pin yếu.</x:v>
      </x:c>
    </x:row>
    <x:row r="19" ht="55" customHeight="1">
      <x:c r="A19" s="31" t="str">
        <x:v>Giá bộ pin đang chọn</x:v>
      </x:c>
      <x:c r="B19" s="31" t="n">
        <x:v>19600</x:v>
      </x:c>
      <x:c r="C19" s="31" t="str">
        <x:v>đ/vỉ 2 viên</x:v>
      </x:c>
      <x:c r="D19" s="31" t="str">
        <x:v>Voniko LR6 2PK: 19.600 đ/vỉ 2 viên, tồn trang 26 vỉ. https://www.thegioiic.com/vi-2-vien-pin-kiem-alkaline-aa-lr6-2pk-voniko-1-5v</x:v>
      </x:c>
    </x:row>
    <x:row r="21" ht="38" customHeight="1">
      <x:c r="A21" s="56" t="str">
        <x:v>Dự toán theo dòng đầu pin — dung lượng hiệu dụng giả định, tắt ngoài giờ</x:v>
      </x:c>
      <x:c r="B21" s="56"/>
      <x:c r="C21" s="56"/>
      <x:c r="D21" s="56"/>
    </x:row>
    <x:row r="22" ht="38" customHeight="1">
      <x:c r="A22" s="58" t="str">
        <x:v>Dòng đầu pin (mA)</x:v>
      </x:c>
      <x:c r="B22" s="58" t="str">
        <x:v>Giờ bật</x:v>
      </x:c>
      <x:c r="C22" s="58" t="str">
        <x:v>Tuần học</x:v>
      </x:c>
      <x:c r="D22" s="58" t="str">
        <x:v>Chi phí pin / giờ (đ)</x:v>
      </x:c>
    </x:row>
    <x:row r="23" ht="38" customHeight="1">
      <x:c r="A23" s="56" t="n">
        <x:v>5</x:v>
      </x:c>
      <x:c r="B23" s="60" t="n">
        <x:f>$B$13/A23</x:f>
        <x:v>400</x:v>
      </x:c>
      <x:c r="C23" s="60" t="n">
        <x:f>B23/($B$15*$B$16)</x:f>
        <x:v>20</x:v>
      </x:c>
      <x:c r="D23" s="60" t="n">
        <x:f>$B$19/B23</x:f>
        <x:v>49</x:v>
      </x:c>
    </x:row>
    <x:row r="24" ht="38" customHeight="1">
      <x:c r="A24" s="56" t="n">
        <x:v>10</x:v>
      </x:c>
      <x:c r="B24" s="60" t="n">
        <x:f>$B$13/A24</x:f>
        <x:v>200</x:v>
      </x:c>
      <x:c r="C24" s="60" t="n">
        <x:f>B24/($B$15*$B$16)</x:f>
        <x:v>10</x:v>
      </x:c>
      <x:c r="D24" s="60" t="n">
        <x:f>$B$19/B24</x:f>
        <x:v>98</x:v>
      </x:c>
    </x:row>
    <x:row r="25" ht="38" customHeight="1">
      <x:c r="A25" s="56" t="n">
        <x:v>20</x:v>
      </x:c>
      <x:c r="B25" s="60" t="n">
        <x:f>$B$13/A25</x:f>
        <x:v>100</x:v>
      </x:c>
      <x:c r="C25" s="60" t="n">
        <x:f>B25/($B$15*$B$16)</x:f>
        <x:v>5</x:v>
      </x:c>
      <x:c r="D25" s="60" t="n">
        <x:f>$B$19/B25</x:f>
        <x:v>196</x:v>
      </x:c>
    </x:row>
    <x:row r="26" ht="38" customHeight="1">
      <x:c r="A26" s="56" t="n">
        <x:v>35</x:v>
      </x:c>
      <x:c r="B26" s="60" t="n">
        <x:f>$B$13/A26</x:f>
        <x:v>57.142857142857146</x:v>
      </x:c>
      <x:c r="C26" s="60" t="n">
        <x:f>B26/($B$15*$B$16)</x:f>
        <x:v>2.857142857142857</x:v>
      </x:c>
      <x:c r="D26" s="60" t="n">
        <x:f>$B$19/B26</x:f>
        <x:v>343</x:v>
      </x:c>
    </x:row>
    <x:row r="27" ht="38" customHeight="1">
      <x:c r="A27" s="56"/>
      <x:c r="B27" s="56"/>
      <x:c r="C27" s="56"/>
      <x:c r="D27" s="56"/>
    </x:row>
    <x:row r="28" ht="64" customHeight="1">
      <x:c r="A28" s="56" t="str">
        <x:v>So sánh năng lượng: các giá trị Wh dưới đây là GIẢ ĐỊNH để khảo sát, chưa xác nhận bằng mẫu</x:v>
      </x:c>
      <x:c r="B28" s="56"/>
      <x:c r="C28" s="56"/>
      <x:c r="D28" s="56"/>
    </x:row>
    <x:row r="29" ht="38" customHeight="1">
      <x:c r="A29" s="58" t="str">
        <x:v>Thông số</x:v>
      </x:c>
      <x:c r="B29" s="58" t="str">
        <x:v>Con Ó AA</x:v>
      </x:c>
      <x:c r="C29" s="58" t="str">
        <x:v>Voniko AA</x:v>
      </x:c>
      <x:c r="D29" s="58" t="str">
        <x:v>L91 AA</x:v>
      </x:c>
    </x:row>
    <x:row r="30" ht="38" customHeight="1">
      <x:c r="A30" s="56" t="str">
        <x:v>Giá cho 2 viên (đ)</x:v>
      </x:c>
      <x:c r="B30" s="59" t="n">
        <x:v>5000</x:v>
      </x:c>
      <x:c r="C30" s="59" t="n">
        <x:v>19600</x:v>
      </x:c>
      <x:c r="D30" s="59" t="n">
        <x:v>150000</x:v>
      </x:c>
    </x:row>
    <x:row r="31" ht="38" customHeight="1">
      <x:c r="A31" s="56" t="str">
        <x:v>Dung lượng sử dụng (mAh/viên)</x:v>
      </x:c>
      <x:c r="B31" s="59" t="n">
        <x:v>500</x:v>
      </x:c>
      <x:c r="C31" s="59" t="n">
        <x:v>2000</x:v>
      </x:c>
      <x:c r="D31" s="59" t="n">
        <x:v>3000</x:v>
      </x:c>
    </x:row>
    <x:row r="32" ht="38" customHeight="1">
      <x:c r="A32" s="56" t="str">
        <x:v>Điện áp trung bình bộ 2 viên (V)</x:v>
      </x:c>
      <x:c r="B32" s="59" t="n">
        <x:v>2.2</x:v>
      </x:c>
      <x:c r="C32" s="59" t="n">
        <x:v>2.4</x:v>
      </x:c>
      <x:c r="D32" s="59" t="n">
        <x:v>2.6</x:v>
      </x:c>
    </x:row>
    <x:row r="33" ht="38" customHeight="1">
      <x:c r="A33" s="56" t="str">
        <x:v>Năng lượng sử dụng bộ pin (Wh)</x:v>
      </x:c>
      <x:c r="B33" s="60" t="n">
        <x:f>B31*B32/1000</x:f>
        <x:v>1.1</x:v>
      </x:c>
      <x:c r="C33" s="60" t="n">
        <x:f>C31*C32/1000</x:f>
        <x:v>4.8</x:v>
      </x:c>
      <x:c r="D33" s="60" t="n">
        <x:f>D31*D32/1000</x:f>
        <x:v>7.8</x:v>
      </x:c>
    </x:row>
    <x:row r="34" ht="38" customHeight="1">
      <x:c r="A34" s="56" t="str">
        <x:v>Công suất trung bình đầu pin (mW)</x:v>
      </x:c>
      <x:c r="B34" s="60" t="n">
        <x:f>$B$14*$C$32</x:f>
        <x:v>18</x:v>
      </x:c>
      <x:c r="C34" s="60" t="n">
        <x:f>$B$14*$C$32</x:f>
        <x:v>18</x:v>
      </x:c>
      <x:c r="D34" s="60" t="n">
        <x:f>$B$14*$C$32</x:f>
        <x:v>18</x:v>
      </x:c>
    </x:row>
    <x:row r="35" ht="38" customHeight="1">
      <x:c r="A35" s="56" t="str">
        <x:v>Thời gian bật (giờ)</x:v>
      </x:c>
      <x:c r="B35" s="60" t="n">
        <x:f>B33*1000/B34</x:f>
        <x:v>61.111111111111114</x:v>
      </x:c>
      <x:c r="C35" s="60" t="n">
        <x:f>C33*1000/C34</x:f>
        <x:v>266.6666666666667</x:v>
      </x:c>
      <x:c r="D35" s="60" t="n">
        <x:f>D33*1000/D34</x:f>
        <x:v>433.3333333333333</x:v>
      </x:c>
    </x:row>
    <x:row r="36" ht="38" customHeight="1">
      <x:c r="A36" s="56" t="str">
        <x:v>Chi phí pin / giờ (đ)</x:v>
      </x:c>
      <x:c r="B36" s="60" t="n">
        <x:f>B30/B35</x:f>
        <x:v>81.81818181818181</x:v>
      </x:c>
      <x:c r="C36" s="60" t="n">
        <x:f>C30/C35</x:f>
        <x:v>73.5</x:v>
      </x:c>
      <x:c r="D36" s="60" t="n">
        <x:f>D30/D35</x:f>
        <x:v>346.1538461538462</x:v>
      </x:c>
    </x:row>
    <x:row r="37" ht="38" customHeight="1">
      <x:c r="A37" s="56"/>
      <x:c r="B37" s="56"/>
      <x:c r="C37" s="56"/>
      <x:c r="D37" s="56"/>
    </x:row>
    <x:row r="38" ht="64" customHeight="1">
      <x:c r="A38" s="56" t="str">
        <x:v>Pin Con Ó: shop không ghi hóa học hoặc dung lượng; giả sử carbon-zinc 500 mAh cho phép tính, không phải datasheet Pinaco. https://icdayroi.com/pin-tieu-aa-con-o-pinaco-1-5v</x:v>
      </x:c>
      <x:c r="B38" s="56"/>
      <x:c r="C38" s="56"/>
      <x:c r="D38" s="56"/>
    </x:row>
    <x:row r="39" ht="64" customHeight="1">
      <x:c r="A39" s="56" t="str">
        <x:v>Không gán datasheet Energizer cho Voniko/Con Ó. Thay mAh, điện áp và công suất bằng kết quả đo; thứ hạng chi phí/giờ có thể đổi. Giá L91 giữ từ đối chiếu trước.</x:v>
      </x:c>
      <x:c r="B39" s="56"/>
      <x:c r="C39" s="56"/>
      <x:c r="D39" s="56"/>
    </x:row>
    <x:row r="40" ht="38" customHeight="1">
      <x:c r="A40" s="56" t="str">
        <x:v>Voniko cần chạy lâu gấp Con Ó</x:v>
      </x:c>
      <x:c r="B40" s="61" t="n">
        <x:f>C30/B30</x:f>
        <x:v>3.92</x:v>
      </x:c>
      <x:c r="C40" s="56" t="str">
        <x:v>lần</x:v>
      </x:c>
      <x:c r="D40" s="56" t="str">
        <x:v>Điều kiện hòa vốn chi phí/giờ, không phải tỷ lệ thời lượng đã đo.</x:v>
      </x:c>
    </x:row>
    <x:row r="41" ht="38" customHeight="1">
      <x:c r="A41" s="56" t="str">
        <x:v>Con Ó cần đạt để rẻ hơn Voniko</x:v>
      </x:c>
      <x:c r="B41" s="61" t="n">
        <x:f>C35/B40</x:f>
        <x:v>68.02721088435375</x:v>
      </x:c>
      <x:c r="C41" s="56" t="str">
        <x:v>giờ</x:v>
      </x:c>
      <x:c r="D41" s="56" t="str">
        <x:v>So cùng công suất; nếu thời lượng Con Ó lớn hơn ngưỡng này thì Con Ó rẻ hơn/giờ.</x:v>
      </x:c>
    </x:row>
    <x:row r="42" ht="64" customHeight="1">
      <x:c r="A42" s="56" t="str">
        <x:v>Chọn Voniko để giảm số lần thay so với pin than và giảm mạnh giá so với L91. Chưa đủ dữ liệu để chứng minh rẻ nhất thị trường hoặc rẻ nhất/giờ.</x:v>
      </x:c>
      <x:c r="B42" s="56"/>
      <x:c r="C42" s="56"/>
      <x:c r="D42" s="56"/>
    </x:row>
  </x:sheetData>
  <x:mergeCells>
    <x:mergeCell ref="A10:D10"/>
    <x:mergeCell ref="A21:D21"/>
    <x:mergeCell ref="A28:D28"/>
    <x:mergeCell ref="A38:D38"/>
    <x:mergeCell ref="A39:D39"/>
    <x:mergeCell ref="A42:D42"/>
  </x:mergeCells>
  <x:pageMargins left="0.7" right="0.7" top="0.75" bottom="0.75" header="0.3" footer="0.3"/>
</x:worksheet>
</file>

<file path=xl/worksheets/sheet3.xml><?xml version="1.0" encoding="utf-8"?>
<worksheet xmlns="http://schemas.openxmlformats.org/spreadsheetml/2006/main" xmlns:r="http://schemas.openxmlformats.org/officeDocument/2006/relationships">
  <sheetViews>
    <sheetView showGridLines="0" workbookViewId="0">
      <pane xSplit="3" ySplit="4" topLeftCell="D5" activePane="bottomRight" state="frozen"/>
    </sheetView>
  </sheetViews>
  <sheetFormatPr baseColWidth="8" defaultRowHeight="15"/>
  <cols>
    <col min="1" max="1" width="5" customWidth="1"/>
    <col min="2" max="2" width="12" customWidth="1"/>
    <col min="3" max="3" width="26" customWidth="1"/>
    <col min="4" max="4" width="38" customWidth="1"/>
    <col min="5" max="5" width="13" customWidth="1"/>
    <col min="6" max="6" width="9" customWidth="1"/>
    <col min="7" max="7" width="16" customWidth="1"/>
    <col min="8" max="8" width="12" customWidth="1"/>
    <col min="9" max="9" width="10" customWidth="1"/>
    <col min="10" max="10" width="11" customWidth="1"/>
    <col min="11" max="11" width="13" customWidth="1"/>
    <col min="12" max="12" width="13" customWidth="1"/>
    <col min="13" max="13" width="15" customWidth="1"/>
  </cols>
  <sheetData>
    <row r="1" ht="30" customHeight="1">
      <c r="A1" s="28" t="str">
        <v>BOM clicker ARS nRF52840 — Rev J, nguồn mua tại TP.HCM</v>
      </c>
    </row>
    <row r="2" ht="30" customHeight="1">
      <c r="A2" s="29" t="str">
        <v>02/10/2026: thay khối boost LCSC bằng module USB ngoài bo. Giá boost/dây USB-A mới; các giá khác kế thừa. Chưa gồm PCB, vỏ, ship.</v>
      </c>
    </row>
    <row r="4" ht="32" customHeight="1">
      <c r="A4" s="3" t="inlineStr">
        <is>
          <t xml:space="preserve">STT</t>
        </is>
      </c>
      <c r="B4" s="3" t="inlineStr">
        <is>
          <t xml:space="preserve">Khối</t>
        </is>
      </c>
      <c r="C4" s="3" t="inlineStr">
        <is>
          <t xml:space="preserve">Linh kiện</t>
        </is>
      </c>
      <c r="D4" s="3" t="inlineStr">
        <is>
          <t xml:space="preserve">Thông số / ghi chú</t>
        </is>
      </c>
      <c r="E4" s="3" t="inlineStr">
        <is>
          <t xml:space="preserve">Ký hiệu trên mạch</t>
        </is>
      </c>
      <c r="F4" s="3" t="inlineStr">
        <is>
          <t xml:space="preserve">SL / clicker</t>
        </is>
      </c>
      <c r="G4" s="3" t="inlineStr">
        <is>
          <t xml:space="preserve">Nơi mua</t>
        </is>
      </c>
      <c r="H4" s="3" t="inlineStr">
        <is>
          <t xml:space="preserve">Link</t>
        </is>
      </c>
      <c r="I4" s="3" t="inlineStr">
        <is>
          <t xml:space="preserve">Bán theo gói (con)</t>
        </is>
      </c>
      <c r="J4" s="3" t="inlineStr">
        <is>
          <t xml:space="preserve">Giá gói (USD)</t>
        </is>
      </c>
      <c r="K4" s="3" t="inlineStr">
        <is>
          <t xml:space="preserve">Giá gói (đ)</t>
        </is>
      </c>
      <c r="L4" s="3" t="inlineStr">
        <is>
          <t xml:space="preserve">Đơn giá / con (đ)</t>
        </is>
      </c>
      <c r="M4" s="3" t="inlineStr">
        <is>
          <t xml:space="preserve">Thành tiền / clicker (đ)</t>
        </is>
      </c>
    </row>
    <row r="5" ht="125" customHeight="1">
      <c r="A5" s="4" t="n">
        <v>1</v>
      </c>
      <c r="B5" s="4" t="inlineStr">
        <is>
          <t xml:space="preserve">MCU + BLE</t>
        </is>
      </c>
      <c r="C5" s="4" t="inlineStr">
        <is>
          <t xml:space="preserve">SuperMini nRF52840 (ProMicro, tương thích nice!nano v2)</t>
        </is>
      </c>
      <c r="D5" s="30" t="str">
        <v>Hàn cố định lên J2/J3 bằng chân đực thấp, mục tiêu khe 2,5–3mm. Đo linh kiện mặt dưới module trước hàn. Cấp 5V qua USB-C J4, B+ NC.</v>
      </c>
      <c r="E5" s="4" t="inlineStr">
        <is>
          <t xml:space="preserve">—</t>
        </is>
      </c>
      <c r="F5" s="11" t="n">
        <v>1</v>
      </c>
      <c r="G5" s="4" t="inlineStr">
        <is>
          <t xml:space="preserve">IC Đây Rồi</t>
        </is>
      </c>
      <c r="H5" s="46" t="inlineStr">
        <is>
          <t xml:space="preserve">Mở trang</t>
        </is>
      </c>
      <c r="I5" s="11" t="n">
        <v>1</v>
      </c>
      <c r="J5" s="13" t="n"/>
      <c r="K5" s="14" t="n">
        <v>150000</v>
      </c>
      <c r="L5" s="15" t="n">
        <f>IF(K5="","",K5/I5)</f>
        <v>150000</v>
      </c>
      <c r="M5" s="15" t="n">
        <f>IF(L5="","",F5*L5)</f>
        <v>150000</v>
      </c>
    </row>
    <row r="6" ht="76" customHeight="1">
      <c r="A6" s="4" t="n">
        <v>2</v>
      </c>
      <c r="B6" s="4" t="str">
        <v>Kết nối module</v>
      </c>
      <c r="C6" s="4" t="str">
        <v>Header đực thẳng 1×40, 2,54mm</v>
      </c>
      <c r="D6" s="4" t="str">
        <v>Cắt 2 đoạn 12 chân; hàn cả PCB và module, không dùng đế cái. Mua 24 chân phân bổ/remote, giá thanh 40 chân. Cắt phần chân thừa.</v>
      </c>
      <c r="E6" s="4" t="inlineStr">
        <is>
          <t xml:space="preserve">J2, J3</t>
        </is>
      </c>
      <c r="F6" s="11" t="n">
        <v>24</v>
      </c>
      <c r="G6" s="4" t="inlineStr">
        <is>
          <t xml:space="preserve">IC Đây Rồi</t>
        </is>
      </c>
      <c r="H6" s="46" t="str">
        <v>https://icdayroi.com/header-1x40-2-54mm-male</v>
      </c>
      <c r="I6" s="11" t="n">
        <v>40</v>
      </c>
      <c r="J6" s="13" t="n"/>
      <c r="K6" s="14" t="n">
        <v>1000</v>
      </c>
      <c r="L6" s="15" t="n">
        <f>IF(K6="","",K6/I6)</f>
        <v>25</v>
      </c>
      <c r="M6" s="15" t="n">
        <f>IF(L6="","",F6*L6)</f>
        <v>600</v>
      </c>
    </row>
    <row r="7" ht="125" customHeight="1">
      <c r="A7" s="4" t="n">
        <v>3</v>
      </c>
      <c r="B7" s="4" t="inlineStr">
        <is>
          <t xml:space="preserve">Nguồn</t>
        </is>
      </c>
      <c r="C7" s="4" t="str">
        <v>Module tăng áp 0,9–5V lên 5V USB (34×16,2mm)</v>
      </c>
      <c r="D7" s="30" t="str">
        <v>U1 ngoài bo: J5 tới IN+/IN−; USB-A đầu ra qua J6. Shop chưa công bố IQ/chiều cao. Đo 5V với tải thật trước lắp nRF.</v>
      </c>
      <c r="E7" s="4" t="str">
        <v>U1 (ngoài bo)</v>
      </c>
      <c r="F7" s="11" t="n">
        <v>1</v>
      </c>
      <c r="G7" s="4" t="str">
        <v>IC Đây Rồi</v>
      </c>
      <c r="H7" s="63" t="str">
        <v>https://icdayroi.com/mach-nguon-tang-ap-dc-0-9-5v-sang-5v-usb</v>
      </c>
      <c r="I7" s="11" t="n">
        <v>1</v>
      </c>
      <c r="J7" s="13"/>
      <c r="K7" s="14" t="n">
        <v>10000</v>
      </c>
      <c r="L7" s="15" t="n">
        <f>IF(K7="","",K7/I7)</f>
        <v>10000</v>
      </c>
      <c r="M7" s="15" t="n">
        <f>IF(L7="","",F7*L7)</f>
        <v>10000</v>
      </c>
    </row>
    <row r="8" ht="125" customHeight="1">
      <c r="A8" s="4" t="n">
        <v>4</v>
      </c>
      <c r="B8" s="4" t="str">
        <v>Nguồn</v>
      </c>
      <c r="C8" s="4" t="str">
        <v>Dây USB-A đực tới XH2.54 2 chân, 50cm IC20985</v>
      </c>
      <c r="D8" s="30" t="str">
        <v>Cắm USB-A vào U1. Cắt bỏ đầu XH, rút ngắn dây để hàn J6: đỏ +5V, đen GND sau khi đo. Dùng đoạn dây dư nối J5 tới IN module. Giá 26.220đ, tồn trang 16.</v>
      </c>
      <c r="E8" s="4" t="str">
        <v>J6 + dây J5</v>
      </c>
      <c r="F8" s="11" t="n">
        <v>1</v>
      </c>
      <c r="G8" s="4" t="str">
        <v>Thế Giới IC</v>
      </c>
      <c r="H8" s="63" t="str">
        <v>https://www.thegioiic.com/day-usb-type-a-duc-noi-xh2-54-2-chan-dai-50cm</v>
      </c>
      <c r="I8" s="11" t="n">
        <v>1</v>
      </c>
      <c r="J8" s="13"/>
      <c r="K8" s="14" t="n">
        <v>26220</v>
      </c>
      <c r="L8" s="15" t="n">
        <f>IF(K8="","",K8/I8)</f>
        <v>26220</v>
      </c>
      <c r="M8" s="15" t="n">
        <f>IF(L8="","",F8*L8)</f>
        <v>26220</v>
      </c>
    </row>
    <row r="9" ht="125" customHeight="1">
      <c r="A9" s="4" t="n">
        <v>5</v>
      </c>
      <c r="B9" s="4" t="inlineStr">
        <is>
          <t xml:space="preserve">Nguồn</t>
        </is>
      </c>
      <c r="C9" s="4" t="str">
        <v>Khay hở 2×AA có dây, IC2410</v>
      </c>
      <c r="D9" s="4" t="str">
        <v>Không nắp, không công tắc. Đỏ vào BT1.1 BAT+, đen BT1.2 GND. Nắp vỏ giữ pin; đặt cạnh PCB, tránh anten. Khay 57,5×30×12,5mm theo shop; pin AA Ø14,5mm nhô cao hơn khay. Đo chiều cao khi lắp pin trước chốt vỏ.</v>
      </c>
      <c r="E9" s="4" t="inlineStr">
        <is>
          <t xml:space="preserve">BT1</t>
        </is>
      </c>
      <c r="F9" s="11" t="n">
        <v>1</v>
      </c>
      <c r="G9" s="4" t="str">
        <v>Thế Giới IC</v>
      </c>
      <c r="H9" s="47" t="str">
        <v>https://www.thegioiic.com/hop-pin-khay-pin-2xaa-day-noi-dai-15cm</v>
      </c>
      <c r="I9" s="11" t="n">
        <v>1</v>
      </c>
      <c r="J9" s="13" t="n"/>
      <c r="K9" s="14" t="n">
        <v>3420</v>
      </c>
      <c r="L9" s="15" t="n">
        <f>IF(K9="","",K9/I9)</f>
        <v>3420</v>
      </c>
      <c r="M9" s="15" t="n">
        <f>IF(L9="","",F9*L9)</f>
        <v>3420</v>
      </c>
    </row>
    <row r="10" ht="125" customHeight="1">
      <c r="A10" s="4" t="n">
        <v>6</v>
      </c>
      <c r="B10" s="4" t="inlineStr">
        <is>
          <t xml:space="preserve">Nguồn</t>
        </is>
      </c>
      <c r="C10" s="4" t="str">
        <v>Voniko alkaline AA LR6 2PK, 1,5 V, vỉ 2 viên</v>
      </c>
      <c r="D10" s="4" t="str">
        <v>2 viên AA alkaline nối tiếp, giá 19.600đ/vỉ, đối chiếu 02/10/2026. Không sạc. Thời lượng trong Thong so là giả định, cần đo đầu pin thật.</v>
      </c>
      <c r="E10" s="4" t="inlineStr">
        <is>
          <t xml:space="preserve">—</t>
        </is>
      </c>
      <c r="F10" s="11" t="n">
        <v>2</v>
      </c>
      <c r="G10" s="4" t="str">
        <v>Thế Giới IC</v>
      </c>
      <c r="H10" s="47" t="str">
        <v>https://www.thegioiic.com/vi-2-vien-pin-kiem-alkaline-aa-lr6-2pk-voniko-1-5v</v>
      </c>
      <c r="I10" s="11" t="n">
        <v>2</v>
      </c>
      <c r="J10" s="13" t="n"/>
      <c r="K10" s="14" t="n">
        <v>19600</v>
      </c>
      <c r="L10" s="15" t="n">
        <f>IF(K10="","",K10/I10)</f>
        <v>9800</v>
      </c>
      <c r="M10" s="15" t="n">
        <f>IF(L10="","",F10*L10)</f>
        <v>19600</v>
      </c>
    </row>
    <row r="11" ht="125" customHeight="1">
      <c r="A11" s="4" t="n">
        <v>7</v>
      </c>
      <c r="B11" s="4" t="inlineStr">
        <is>
          <t xml:space="preserve">Nguồn</t>
        </is>
      </c>
      <c r="C11" s="4" t="inlineStr">
        <is>
          <t xml:space="preserve">Tụ điện 22 µF 16 V 1206 (gói 10 con)</t>
        </is>
      </c>
      <c r="D11" s="4" t="str">
        <v>C1: tụ 22µF đầu vào J5/module boost. C3/C4 đã bỏ; đầu ra dùng tụ trên module nguồn và SuperMini. Không còn yêu cầu tụ TPS61099.</v>
      </c>
      <c r="E11" s="4" t="str">
        <v>C1</v>
      </c>
      <c r="F11" s="11" t="n">
        <v>1</v>
      </c>
      <c r="G11" s="4" t="inlineStr">
        <is>
          <t xml:space="preserve">IC Đây Rồi</t>
        </is>
      </c>
      <c r="H11" s="46" t="inlineStr">
        <is>
          <t xml:space="preserve">Mở trang</t>
        </is>
      </c>
      <c r="I11" s="11" t="n">
        <v>10</v>
      </c>
      <c r="J11" s="13" t="n"/>
      <c r="K11" s="14" t="n">
        <v>7000</v>
      </c>
      <c r="L11" s="15" t="n">
        <f>IF(K11="","",K11/I11)</f>
        <v>700</v>
      </c>
      <c r="M11" s="15" t="n">
        <f>IF(L11="","",F11*L11)</f>
        <v>700</v>
      </c>
    </row>
    <row r="12">
      <c r="A12" s="4" t="n">
        <v>8</v>
      </c>
      <c r="B12" s="4" t="inlineStr">
        <is>
          <t xml:space="preserve">Hiển thị</t>
        </is>
      </c>
      <c r="C12" s="4" t="inlineStr">
        <is>
          <t xml:space="preserve">Tụ điện 100 nF 50 V 0603 (gói 10 con)</t>
        </is>
      </c>
      <c r="D12" s="4" t="inlineStr">
        <is>
          <t xml:space="preserve">C2: lọc nguồn 3V3 sát 2 PMOS Q2, Q3 (nguồn anode LED 7 đoạn)</t>
        </is>
      </c>
      <c r="E12" s="4" t="inlineStr">
        <is>
          <t xml:space="preserve">C2</t>
        </is>
      </c>
      <c r="F12" s="11" t="n">
        <v>1</v>
      </c>
      <c r="G12" s="4" t="inlineStr">
        <is>
          <t xml:space="preserve">IC Đây Rồi</t>
        </is>
      </c>
      <c r="H12" s="46" t="inlineStr">
        <is>
          <t xml:space="preserve">Mở trang</t>
        </is>
      </c>
      <c r="I12" s="11" t="n">
        <v>10</v>
      </c>
      <c r="J12" s="13" t="n"/>
      <c r="K12" s="14" t="n">
        <v>2000</v>
      </c>
      <c r="L12" s="15" t="n">
        <f>IF(K12="","",K12/I12)</f>
        <v>200</v>
      </c>
      <c r="M12" s="15" t="n">
        <f>IF(L12="","",F12*L12)</f>
        <v>200</v>
      </c>
    </row>
    <row r="13">
      <c r="A13" s="4" t="n">
        <v>9</v>
      </c>
      <c r="B13" s="4" t="inlineStr">
        <is>
          <t xml:space="preserve">Nguồn / Hiển thị</t>
        </is>
      </c>
      <c r="C13" s="4" t="inlineStr">
        <is>
          <t xml:space="preserve">MOSFET P AO3401 30 V 4 A SOT-23 (gói 5 con)</t>
        </is>
      </c>
      <c r="D13" s="4" t="str">
        <v>Q1 chống ngược sau SW15, trước J5; Q2/Q3 chọn digit. Giữ AO3401A; không thay Q1 bằng transistor PNP.</v>
      </c>
      <c r="E13" s="4" t="inlineStr">
        <is>
          <t xml:space="preserve">Q1, Q2, Q3</t>
        </is>
      </c>
      <c r="F13" s="11" t="n">
        <v>3</v>
      </c>
      <c r="G13" s="4" t="inlineStr">
        <is>
          <t xml:space="preserve">IC Đây Rồi</t>
        </is>
      </c>
      <c r="H13" s="46" t="inlineStr">
        <is>
          <t xml:space="preserve">Mở trang</t>
        </is>
      </c>
      <c r="I13" s="11" t="n">
        <v>5</v>
      </c>
      <c r="J13" s="13" t="n"/>
      <c r="K13" s="14" t="n">
        <v>2500</v>
      </c>
      <c r="L13" s="15" t="n">
        <f>IF(K13="","",K13/I13)</f>
        <v>500</v>
      </c>
      <c r="M13" s="15" t="n">
        <f>IF(L13="","",F13*L13)</f>
        <v>1500</v>
      </c>
    </row>
    <row r="14" ht="125" customHeight="1">
      <c r="A14" s="4" t="n">
        <v>10</v>
      </c>
      <c r="B14" s="4" t="inlineStr">
        <is>
          <t xml:space="preserve">Hiển thị</t>
        </is>
      </c>
      <c r="C14" s="4" t="str">
        <v>LED đôi 7 đoạn 3261BS, anode chung</v>
      </c>
      <c r="D14" s="30" t="str">
        <v>Đã sửa symbol/PCB theo datasheet XLITX: 1 G, 2 DP (NC), 3 A, 4 F, 5 CA2, 6 D, 7 E, 8 C, 9 B, 10 CA1. Pitch 2,54 mm, 2 hàng 10,16 mm; shop không xác nhận hãng, kiểm tra mẫu.</v>
      </c>
      <c r="E14" s="4" t="inlineStr">
        <is>
          <t xml:space="preserve">DS1</t>
        </is>
      </c>
      <c r="F14" s="11" t="n">
        <v>1</v>
      </c>
      <c r="G14" s="4" t="inlineStr">
        <is>
          <t xml:space="preserve">IC Đây Rồi</t>
        </is>
      </c>
      <c r="H14" s="46" t="inlineStr">
        <is>
          <t xml:space="preserve">Mở trang</t>
        </is>
      </c>
      <c r="I14" s="11" t="n">
        <v>1</v>
      </c>
      <c r="J14" s="13" t="n"/>
      <c r="K14" s="14" t="n">
        <v>5000</v>
      </c>
      <c r="L14" s="15" t="n">
        <f>IF(K14="","",K14/I14)</f>
        <v>5000</v>
      </c>
      <c r="M14" s="15" t="n">
        <f>IF(L14="","",F14*L14)</f>
        <v>5000</v>
      </c>
    </row>
    <row r="15" ht="55" customHeight="1">
      <c r="A15" s="4" t="n">
        <v>11</v>
      </c>
      <c r="B15" s="4" t="inlineStr">
        <is>
          <t xml:space="preserve">Hiển thị</t>
        </is>
      </c>
      <c r="C15" s="4" t="inlineStr">
        <is>
          <t xml:space="preserve">LED đỏ 0603 (gói 10 con)</t>
        </is>
      </c>
      <c r="D15" s="30" t="str">
        <v>D1 báo câu chưa có đáp án. Shop không ghi mã hãng hoặc VF: đo mẫu thật với nguồn cấp của board.</v>
      </c>
      <c r="E15" s="4" t="inlineStr">
        <is>
          <t xml:space="preserve">D1</t>
        </is>
      </c>
      <c r="F15" s="11" t="n">
        <v>1</v>
      </c>
      <c r="G15" s="4" t="inlineStr">
        <is>
          <t xml:space="preserve">IC Đây Rồi</t>
        </is>
      </c>
      <c r="H15" s="46" t="inlineStr">
        <is>
          <t xml:space="preserve">Mở trang</t>
        </is>
      </c>
      <c r="I15" s="11" t="n">
        <v>10</v>
      </c>
      <c r="J15" s="13" t="n"/>
      <c r="K15" s="14" t="n">
        <v>2000</v>
      </c>
      <c r="L15" s="15" t="n">
        <f>IF(K15="","",K15/I15)</f>
        <v>200</v>
      </c>
      <c r="M15" s="15" t="n">
        <f>IF(L15="","",F15*L15)</f>
        <v>200</v>
      </c>
    </row>
    <row r="16" ht="103" customHeight="1">
      <c r="A16" s="4" t="n">
        <v>12</v>
      </c>
      <c r="B16" s="4" t="inlineStr">
        <is>
          <t xml:space="preserve">Hiển thị</t>
        </is>
      </c>
      <c r="C16" s="30" t="str">
        <v>LED green 0603 (gói 10 con, cần xác nhận VF)</v>
      </c>
      <c r="D16" s="30" t="str">
        <v>Shop không ghi bước sóng hoặc VF. Chỉ dùng nếu mẫu thật có VF phù hợp điện áp GPIO. Không mặc định mọi LED green đều là xanh vàng VF = 2 V. Giá tiêu đề 2.000 đ, mô tả 3.000 đ: cần xác nhận.</v>
      </c>
      <c r="E16" s="4" t="inlineStr">
        <is>
          <t xml:space="preserve">D2</t>
        </is>
      </c>
      <c r="F16" s="11" t="n">
        <v>1</v>
      </c>
      <c r="G16" s="4" t="inlineStr">
        <is>
          <t xml:space="preserve">IC Đây Rồi</t>
        </is>
      </c>
      <c r="H16" s="46" t="inlineStr">
        <is>
          <t xml:space="preserve">Mở trang</t>
        </is>
      </c>
      <c r="I16" s="11" t="n">
        <v>10</v>
      </c>
      <c r="J16" s="13" t="n"/>
      <c r="K16" s="14" t="n">
        <v>3000</v>
      </c>
      <c r="L16" s="15" t="n">
        <f>IF(K16="","",K16/I16)</f>
        <v>300</v>
      </c>
      <c r="M16" s="15" t="n">
        <f>IF(L16="","",F16*L16)</f>
        <v>300</v>
      </c>
    </row>
    <row r="17" ht="125" customHeight="1">
      <c r="A17" s="4" t="n">
        <v>13</v>
      </c>
      <c r="B17" s="4" t="inlineStr">
        <is>
          <t xml:space="preserve">Giao diện</t>
        </is>
      </c>
      <c r="C17" s="30" t="str">
        <v>Nút 2 chân SMD IC3236, cao 5 mm</v>
      </c>
      <c r="D17" s="30" t="str">
        <v>14 nút. Theo bản vẽ shop 4775.jpg: thân 6,6×6,2 mm; pad 2×2 mm, tâm cách 6,0 mm. Giá 1.710 đ/cái, tồn trang 1.660 cái. Via nhỏ trong land dành hàn tay, xem hướng dẫn.</v>
      </c>
      <c r="E17" s="4" t="inlineStr">
        <is>
          <t xml:space="preserve">SW1–SW14</t>
        </is>
      </c>
      <c r="F17" s="11" t="n">
        <v>14</v>
      </c>
      <c r="G17" s="30" t="str">
        <v>Thế Giới IC</v>
      </c>
      <c r="H17" s="47" t="str">
        <v>https://www.thegioiic.com/nut-nhan-6x6mm-cao-5mm-2-chan-smd-chong-nuoc</v>
      </c>
      <c r="I17" s="11" t="n">
        <v>1</v>
      </c>
      <c r="J17" s="13" t="n"/>
      <c r="K17" s="14" t="n">
        <v>1710</v>
      </c>
      <c r="L17" s="15" t="n">
        <f>IF(K17="","",K17/I17)</f>
        <v>1710</v>
      </c>
      <c r="M17" s="15" t="n">
        <f>IF(L17="","",F17*L17)</f>
        <v>23940</v>
      </c>
    </row>
    <row r="18">
      <c r="A18" s="4" t="n">
        <v>14</v>
      </c>
      <c r="B18" s="4" t="inlineStr">
        <is>
          <t xml:space="preserve">Điện trở</t>
        </is>
      </c>
      <c r="C18" s="4" t="inlineStr">
        <is>
          <t xml:space="preserve">Điện trở 1K 0603 1 % (gói 100 con)</t>
        </is>
      </c>
      <c r="D18" s="4" t="inlineStr">
        <is>
          <t xml:space="preserve">R13–R16 nối tiếp 4 hàng phím · R17, R18 nối tiếp cực cổng Q2, Q3</t>
        </is>
      </c>
      <c r="E18" s="4" t="inlineStr">
        <is>
          <t xml:space="preserve">R13–R18</t>
        </is>
      </c>
      <c r="F18" s="11" t="n">
        <v>6</v>
      </c>
      <c r="G18" s="4" t="inlineStr">
        <is>
          <t xml:space="preserve">IC Đây Rồi</t>
        </is>
      </c>
      <c r="H18" s="46" t="inlineStr">
        <is>
          <t xml:space="preserve">Mở trang</t>
        </is>
      </c>
      <c r="I18" s="11" t="n">
        <v>100</v>
      </c>
      <c r="J18" s="13" t="n"/>
      <c r="K18" s="14" t="n">
        <v>4000</v>
      </c>
      <c r="L18" s="15" t="n">
        <f>IF(K18="","",K18/I18)</f>
        <v>40</v>
      </c>
      <c r="M18" s="15" t="n">
        <f>IF(L18="","",F18*L18)</f>
        <v>240</v>
      </c>
    </row>
    <row r="19">
      <c r="A19" s="4" t="n">
        <v>15</v>
      </c>
      <c r="B19" s="4" t="inlineStr">
        <is>
          <t xml:space="preserve">Điện trở</t>
        </is>
      </c>
      <c r="C19" s="4" t="inlineStr">
        <is>
          <t xml:space="preserve">Điện trở 470R 0603 1 % (gói 100 con)</t>
        </is>
      </c>
      <c r="D19" s="4" t="inlineStr">
        <is>
          <t xml:space="preserve">R1–R7 nối tiếp 7 đoạn LED (≈ 2,3 mA/đoạn) · R8 đèn đỏ (≈ 2 mA)</t>
        </is>
      </c>
      <c r="E19" s="4" t="inlineStr">
        <is>
          <t xml:space="preserve">R1–R8</t>
        </is>
      </c>
      <c r="F19" s="11" t="n">
        <v>8</v>
      </c>
      <c r="G19" s="4" t="inlineStr">
        <is>
          <t xml:space="preserve">IC Đây Rồi</t>
        </is>
      </c>
      <c r="H19" s="46" t="inlineStr">
        <is>
          <t xml:space="preserve">Mở trang</t>
        </is>
      </c>
      <c r="I19" s="11" t="n">
        <v>100</v>
      </c>
      <c r="J19" s="13" t="n"/>
      <c r="K19" s="14" t="n">
        <v>4000</v>
      </c>
      <c r="L19" s="15" t="n">
        <f>IF(K19="","",K19/I19)</f>
        <v>40</v>
      </c>
      <c r="M19" s="15" t="n">
        <f>IF(L19="","",F19*L19)</f>
        <v>320</v>
      </c>
    </row>
    <row r="20">
      <c r="A20" s="4" t="n">
        <v>16</v>
      </c>
      <c r="B20" s="4" t="inlineStr">
        <is>
          <t xml:space="preserve">Hiển thị</t>
        </is>
      </c>
      <c r="C20" s="4" t="inlineStr">
        <is>
          <t xml:space="preserve">Diode 1N4148WS SOD-323 (gói 10 con)</t>
        </is>
      </c>
      <c r="D20" s="4" t="inlineStr">
        <is>
          <t xml:space="preserve">D4 nối tiếp đèn xanh vàng: chặn dòng rò khi LED_RG thả nổi. 75 V, 200 mW</t>
        </is>
      </c>
      <c r="E20" s="4" t="inlineStr">
        <is>
          <t xml:space="preserve">D4</t>
        </is>
      </c>
      <c r="F20" s="11" t="n">
        <v>1</v>
      </c>
      <c r="G20" s="4" t="inlineStr">
        <is>
          <t xml:space="preserve">IC Đây Rồi</t>
        </is>
      </c>
      <c r="H20" s="46" t="inlineStr">
        <is>
          <t xml:space="preserve">Mở trang</t>
        </is>
      </c>
      <c r="I20" s="11" t="n">
        <v>10</v>
      </c>
      <c r="J20" s="13" t="n"/>
      <c r="K20" s="14" t="n">
        <v>2000</v>
      </c>
      <c r="L20" s="15" t="n">
        <f>IF(K20="","",K20/I20)</f>
        <v>200</v>
      </c>
      <c r="M20" s="15" t="n">
        <f>IF(L20="","",F20*L20)</f>
        <v>200</v>
      </c>
    </row>
    <row r="21" ht="39" customHeight="1">
      <c r="A21" s="4" t="n">
        <v>17</v>
      </c>
      <c r="B21" s="4" t="inlineStr">
        <is>
          <t xml:space="preserve">Điện trở</t>
        </is>
      </c>
      <c r="C21" s="30" t="str">
        <v>Điện trở 100K 0603 1 % (gói 100 con)</v>
      </c>
      <c r="D21" s="4" t="inlineStr">
        <is>
          <t xml:space="preserve">R10, R11 kéo cực G của Q2, Q3 lên 3V3 (số tắt khi GPIO thả nổi)</t>
        </is>
      </c>
      <c r="E21" s="4" t="inlineStr">
        <is>
          <t xml:space="preserve">R10, R11</t>
        </is>
      </c>
      <c r="F21" s="11" t="n">
        <v>2</v>
      </c>
      <c r="G21" s="4" t="inlineStr">
        <is>
          <t xml:space="preserve">IC Đây Rồi</t>
        </is>
      </c>
      <c r="H21" s="46" t="inlineStr">
        <is>
          <t xml:space="preserve">Mở trang</t>
        </is>
      </c>
      <c r="I21" s="11" t="n">
        <v>100</v>
      </c>
      <c r="J21" s="13" t="n"/>
      <c r="K21" s="14" t="n">
        <v>4000</v>
      </c>
      <c r="L21" s="15" t="n">
        <f>IF(K21="","",K21/I21)</f>
        <v>40</v>
      </c>
      <c r="M21" s="15" t="n">
        <f>IF(L21="","",F21*L21)</f>
        <v>80</v>
      </c>
    </row>
    <row r="22" ht="125" customHeight="1">
      <c r="A22" s="4" t="n">
        <v>18</v>
      </c>
      <c r="B22" s="4" t="inlineStr">
        <is>
          <t xml:space="preserve">Nguồn</t>
        </is>
      </c>
      <c r="C22" s="4" t="inlineStr">
        <is>
          <t xml:space="preserve">Tụ điện 10 µF 25 V 0603 (gói 10 con)</t>
        </is>
      </c>
      <c r="D22" s="30" t="str">
        <v>C5 sát VCC J3.4. Không còn tụ nối B+; C3/C4 chuyển sang 22µF 1206 ở dòng 11.</v>
      </c>
      <c r="E22" s="4" t="str">
        <v>C5</v>
      </c>
      <c r="F22" s="11" t="n">
        <v>1</v>
      </c>
      <c r="G22" s="4" t="inlineStr">
        <is>
          <t xml:space="preserve">IC Đây Rồi</t>
        </is>
      </c>
      <c r="H22" s="46" t="inlineStr">
        <is>
          <t xml:space="preserve">Mở trang</t>
        </is>
      </c>
      <c r="I22" s="11" t="n">
        <v>10</v>
      </c>
      <c r="J22" s="13" t="n"/>
      <c r="K22" s="14" t="n">
        <v>4000</v>
      </c>
      <c r="L22" s="15" t="n">
        <f>IF(K22="","",K22/I22)</f>
        <v>400</v>
      </c>
      <c r="M22" s="15" t="n">
        <f>IF(L22="","",F22*L22)</f>
        <v>400</v>
      </c>
    </row>
    <row r="23" ht="125" customHeight="1">
      <c r="A23" s="4" t="n">
        <v>19</v>
      </c>
      <c r="B23" s="4" t="inlineStr">
        <is>
          <t xml:space="preserve">Điện trở</t>
        </is>
      </c>
      <c r="C23" s="4" t="inlineStr">
        <is>
          <t xml:space="preserve">Điện trở 100R 0603 1 % (gói 100 con)</t>
        </is>
      </c>
      <c r="D23" s="4" t="str">
        <v>R9 nhánh LED xanh. Dòng và độ sáng cần đo theo VCC/VF thật; không coi VF mọi LED green là 2V.</v>
      </c>
      <c r="E23" s="4" t="inlineStr">
        <is>
          <t xml:space="preserve">R9</t>
        </is>
      </c>
      <c r="F23" s="11" t="n">
        <v>1</v>
      </c>
      <c r="G23" s="4" t="inlineStr">
        <is>
          <t xml:space="preserve">IC Đây Rồi</t>
        </is>
      </c>
      <c r="H23" s="46" t="inlineStr">
        <is>
          <t xml:space="preserve">Mở trang</t>
        </is>
      </c>
      <c r="I23" s="11" t="n">
        <v>100</v>
      </c>
      <c r="J23" s="13" t="n"/>
      <c r="K23" s="14" t="n">
        <v>4000</v>
      </c>
      <c r="L23" s="15" t="n">
        <f>IF(K23="","",K23/I23)</f>
        <v>40</v>
      </c>
      <c r="M23" s="15" t="n">
        <f>IF(L23="","",F23*L23)</f>
        <v>40</v>
      </c>
    </row>
    <row r="24" ht="125" customHeight="1">
      <c r="A24" s="42" t="n">
        <v>20</v>
      </c>
      <c r="B24" s="42" t="str">
        <v>Nguồn</v>
      </c>
      <c r="C24" s="42" t="str">
        <v>R19 đã bỏ — không mua</v>
      </c>
      <c r="D24" s="42" t="str">
        <v>Module USB tích hợp hồi tiếp; không lắp điện trở hồi tiếp trên PCB Rev J.</v>
      </c>
      <c r="E24" s="42" t="str">
        <v>—</v>
      </c>
      <c r="F24" s="42" t="n">
        <v>0</v>
      </c>
      <c r="G24" s="42" t="str">
        <v>Không mua</v>
      </c>
      <c r="H24" s="63" t="str"/>
      <c r="I24" s="49" t="n">
        <v>1</v>
      </c>
      <c r="J24" s="49"/>
      <c r="K24" s="51" t="n">
        <v>0</v>
      </c>
      <c r="L24" s="51" t="str">
        <f>IF(K24="","",K24/I24)</f>
      </c>
      <c r="M24" s="51" t="str">
        <f>IF(L24="","",F24*L24)</f>
      </c>
    </row>
    <row r="25" ht="125" customHeight="1">
      <c r="A25" s="42" t="n">
        <v>21</v>
      </c>
      <c r="B25" s="42" t="str">
        <v>Nguồn</v>
      </c>
      <c r="C25" s="42" t="str">
        <v>R20 đã bỏ — không mua</v>
      </c>
      <c r="D25" s="42" t="str">
        <v>Không cần điện trở 249kΩ hoặc hai con 499kΩ cho Rev J.</v>
      </c>
      <c r="E25" s="42" t="str">
        <v>—</v>
      </c>
      <c r="F25" s="42" t="n">
        <v>0</v>
      </c>
      <c r="G25" s="42" t="str">
        <v>Không mua</v>
      </c>
      <c r="H25" s="63" t="str"/>
      <c r="I25" s="43" t="n">
        <v>1</v>
      </c>
      <c r="J25" s="49"/>
      <c r="K25" s="51" t="n">
        <v>0</v>
      </c>
      <c r="L25" s="51" t="str">
        <f>IF(K25="","",K25/I25)</f>
      </c>
      <c r="M25" s="52" t="str">
        <f>IF(L25="","",F25*L25)</f>
      </c>
    </row>
    <row r="26" ht="125" customHeight="1">
      <c r="A26" s="42" t="n">
        <v>22</v>
      </c>
      <c r="B26" s="42" t="str">
        <v>Nguồn</v>
      </c>
      <c r="C26" s="42" t="str">
        <v>Dây USB-C đực 2 lõi 75 mm IC41762</v>
      </c>
      <c r="D26" s="42" t="str">
        <v>J4.1 +5V nhận từ J6; J4.2 GND. Hàn dây USB-C 75mm, cắm SuperMini. Rút dây này trước khi cắm PC.</v>
      </c>
      <c r="E26" s="42" t="str">
        <v>J4</v>
      </c>
      <c r="F26" s="42" t="n">
        <v>1</v>
      </c>
      <c r="G26" s="42" t="str">
        <v>Thế Giới IC</v>
      </c>
      <c r="H26" s="48" t="str">
        <v>https://www.thegioiic.com/day-cap-usb-type-c-duc-2-chan-dai-75mm</v>
      </c>
      <c r="I26" s="43" t="n">
        <v>1</v>
      </c>
      <c r="J26" s="49"/>
      <c r="K26" s="51" t="n">
        <v>7980</v>
      </c>
      <c r="L26" s="51" t="n">
        <f>IF(K26="","",K26/I26)</f>
        <v>7980</v>
      </c>
      <c r="M26" s="52" t="n">
        <f>IF(L26="","",F26*L26)</f>
        <v>7980</v>
      </c>
    </row>
    <row r="27">
      <c r="A27" s="42" t="n">
        <v>23</v>
      </c>
      <c r="B27" s="42" t="str">
        <v>Nguồn</v>
      </c>
      <c r="C27" s="42" t="str">
        <v>Công tắc gạt ngang SS-12F23G4, IC20132</v>
      </c>
      <c r="D27" s="42" t="str">
        <v>3 chân tiếp điểm + 2 chân giữ. COM=pad2 nối BAT+; pad3 ra Q1; pad1 để trống. Pad4/5 giữ cơ khí không nối điện. Bước 3mm, lỗ 1,2mm; slots 1,6×1mm cách 12,6mm theo bản vẽ shop 1343.jpg. Xác nhận mẫu.</v>
      </c>
      <c r="E27" s="42" t="str">
        <v>SW15</v>
      </c>
      <c r="F27" s="42" t="n">
        <v>1</v>
      </c>
      <c r="G27" s="42" t="str">
        <v>Thế Giới IC</v>
      </c>
      <c r="H27" s="48" t="str">
        <v>https://www.thegioiic.com/ss-12f23g4-cong-tac-truot-5-chan-xuyen-lo-on-off-chinh-ngang-1p2t-2a</v>
      </c>
      <c r="I27" s="43" t="n">
        <v>10</v>
      </c>
      <c r="J27" s="49"/>
      <c r="K27" s="51" t="n">
        <v>8550</v>
      </c>
      <c r="L27" s="51" t="n">
        <f>K27/I27</f>
        <v>855</v>
      </c>
      <c r="M27" s="52" t="n">
        <f>F27*L27</f>
        <v>855</v>
      </c>
    </row>
    <row r="28">
      <c r="I28" s="16" t="str">
        <v>Tổng linh kiện / clicker</v>
      </c>
      <c r="M28" s="53" t="n">
        <f>IF(COUNT(K5:K27)&lt;ROWS(K5:K27),"n.a.",SUM(M5:M27))</f>
        <v>251795</v>
      </c>
    </row>
    <row r="29">
      <c r="I29" t="str">
        <v>Trần cho phép</v>
      </c>
      <c r="M29" s="54" t="n">
        <f>'Thong so'!$B$8</f>
        <v>300000</v>
      </c>
    </row>
    <row r="30">
      <c r="A30" s="8"/>
      <c r="I30" t="str">
        <v>Còn dư so với trần</v>
      </c>
      <c r="M30" s="54" t="n">
        <f>IF(ISNUMBER(M28),M29-M28,"n.a.")</f>
        <v>48205</v>
      </c>
    </row>
    <row r="31">
      <c r="I31" t="str">
        <v>Tỷ lệ so với trần</v>
      </c>
      <c r="M31" s="55" t="n">
        <f>IF(ISNUMBER(M28),M28/M29,"n.a.")</f>
        <v>0.8393166666666667</v>
      </c>
    </row>
    <row r="33" ht="45" customHeight="1">
      <c r="A33" s="31" t="str">
        <v>Dùng Voniko alkaline thay L91, giảm 130.400 đ/clicker. Pin Con Ó rẻ hơn lúc mua nhưng chưa có dữ liệu xả để kết luận chi phí/giờ. Xem bảng so sánh ở Thong so.</v>
      </c>
      <c r="B33" s="31"/>
      <c r="C33" s="31"/>
      <c r="D33" s="31"/>
      <c r="E33" s="31"/>
      <c r="F33" s="31"/>
      <c r="G33" s="31"/>
      <c r="H33" s="31"/>
      <c r="I33" s="31"/>
      <c r="J33" s="31"/>
      <c r="K33" s="31"/>
      <c r="L33" s="31"/>
      <c r="M33" s="31"/>
    </row>
  </sheetData>
  <mergeCells>
    <mergeCell ref="I28:K28"/>
    <mergeCell ref="I27:K27"/>
    <mergeCell ref="I26:K26"/>
    <mergeCell ref="I25:K25"/>
    <mergeCell ref="A33:M33"/>
  </mergeCells>
  <hyperlinks>
    <hyperlink ref="H5" r:id="R4d3f7e51996c459f"/>
    <hyperlink ref="H6" r:id="R5b8dea8b14d84b84"/>
    <hyperlink ref="H7" r:id="R22ded9a80f6947ae"/>
    <hyperlink ref="H8" r:id="R45fbe0ac603d4e10"/>
    <hyperlink ref="H9" r:id="R0ee6e72478f64cb3"/>
    <hyperlink ref="H10" r:id="Rf49c4d7f78644153"/>
    <hyperlink ref="H11" r:id="R1bb5eb189ce44ec6"/>
    <hyperlink ref="H12" r:id="R2cb9cbf77fe84e6e"/>
    <hyperlink ref="H13" r:id="R2ebfc5650de44e38"/>
    <hyperlink ref="H14" r:id="R1d38265762cc430f"/>
    <hyperlink ref="H15" r:id="R2dd1c230fc744816"/>
    <hyperlink ref="H16" r:id="R88510cf0c1ca4629"/>
    <hyperlink ref="H17" r:id="Rf31166f3d6614f33"/>
    <hyperlink ref="H18" r:id="Rfcaf1d20f0c64982"/>
    <hyperlink ref="H19" r:id="R9bb2d4b693a74111"/>
    <hyperlink ref="H20" r:id="R3ab8d4f0f290423c"/>
    <hyperlink ref="H21" r:id="Rd49d9aee90b44d36"/>
    <hyperlink ref="H22" r:id="R76b36913515f4b79"/>
    <hyperlink ref="H23" r:id="R6c5876b4b30a440e"/>
    <hyperlink ref="H26" r:id="Re1fd7a86cedd47b7"/>
    <hyperlink ref="H27" r:id="R6c4898672d2a43ce"/>
  </hyperlinks>
  <pageMargins left="0.7" right="0.7" top="0.75" bottom="0.75" header="0.3" footer="0.3"/>
  <legacyDrawing r:id="R9564f3caba2a4695"/>
</worksheet>
</file>

<file path=xl/worksheets/sheet4.xml><?xml version="1.0" encoding="utf-8"?>
<worksheet xmlns="http://schemas.openxmlformats.org/spreadsheetml/2006/main" xmlns:r="http://schemas.openxmlformats.org/officeDocument/2006/relationships">
  <sheetViews>
    <sheetView showGridLines="0" workbookViewId="0"/>
  </sheetViews>
  <sheetFormatPr baseColWidth="8" defaultRowHeight="15"/>
  <cols>
    <col min="1" max="1" width="5" customWidth="1"/>
    <col min="2" max="2" width="30" customWidth="1"/>
    <col min="3" max="3" width="14" customWidth="1"/>
    <col min="4" max="4" width="11" customWidth="1"/>
    <col min="5" max="5" width="9" customWidth="1"/>
    <col min="6" max="6" width="11" customWidth="1"/>
    <col min="7" max="7" width="10" customWidth="1"/>
    <col min="8" max="8" width="13" customWidth="1"/>
    <col min="9" max="9" width="15" customWidth="1"/>
    <col min="10" max="10" width="12" customWidth="1"/>
  </cols>
  <sheetData>
    <row r="1">
      <c r="A1" s="1" t="inlineStr">
        <is>
          <t xml:space="preserve">Danh sách mua cho cả nhóm</t>
        </is>
      </c>
    </row>
    <row r="2">
      <c r="A2" s="2" t="inlineStr">
        <is>
          <t xml:space="preserve">Số gói phải mua = làm tròn lên (SL/clicker × (số clicker + dự phòng) ÷ số con mỗi gói).</t>
        </is>
      </c>
    </row>
    <row r="4" ht="32" customHeight="1">
      <c r="A4" s="3" t="inlineStr">
        <is>
          <t xml:space="preserve">STT</t>
        </is>
      </c>
      <c r="B4" s="3" t="inlineStr">
        <is>
          <t xml:space="preserve">Linh kiện</t>
        </is>
      </c>
      <c r="C4" s="3" t="inlineStr">
        <is>
          <t xml:space="preserve">Nơi mua</t>
        </is>
      </c>
      <c r="D4" s="3" t="inlineStr">
        <is>
          <t xml:space="preserve">Link</t>
        </is>
      </c>
      <c r="E4" s="3" t="inlineStr">
        <is>
          <t xml:space="preserve">SL cần</t>
        </is>
      </c>
      <c r="F4" s="3" t="inlineStr">
        <is>
          <t xml:space="preserve">Bán theo gói (con)</t>
        </is>
      </c>
      <c r="G4" s="3" t="inlineStr">
        <is>
          <t xml:space="preserve">Số gói mua</t>
        </is>
      </c>
      <c r="H4" s="3" t="inlineStr">
        <is>
          <t xml:space="preserve">Giá gói (đ)</t>
        </is>
      </c>
      <c r="I4" s="3" t="inlineStr">
        <is>
          <t xml:space="preserve">Thành tiền (đ)</t>
        </is>
      </c>
      <c r="J4" s="3" t="inlineStr">
        <is>
          <t xml:space="preserve">Dư sau khi lắp (con)</t>
        </is>
      </c>
    </row>
    <row r="5">
      <c r="A5" s="4" t="n">
        <v>1</v>
      </c>
      <c r="B5" s="19" t="str">
        <f>'BOM 1 clicker'!C5</f>
        <v>SuperMini nRF52840 (ProMicro, tương thích nice!nano v2)</v>
      </c>
      <c r="C5" s="19" t="str">
        <f>'BOM 1 clicker'!G5</f>
        <v>IC Đây Rồi</v>
      </c>
      <c r="D5" s="46" t="str">
        <f>'BOM 1 clicker'!H5</f>
        <v>Mở trang</v>
      </c>
      <c r="E5" s="19" t="n">
        <f>'BOM 1 clicker'!F5*('Thong so'!$B$6+'Thong so'!$B$7)</f>
        <v>6</v>
      </c>
      <c r="F5" s="19" t="n">
        <f>'BOM 1 clicker'!I5</f>
        <v>1</v>
      </c>
      <c r="G5" s="4" t="n">
        <f>ROUNDUP(E5/F5,0)</f>
        <v>6</v>
      </c>
      <c r="H5" s="5" t="n">
        <f>IF('BOM 1 clicker'!K5="","",'BOM 1 clicker'!K5)</f>
        <v>150000</v>
      </c>
      <c r="I5" s="15" t="n">
        <f>IF(H5="","",G5*H5)</f>
        <v>900000</v>
      </c>
      <c r="J5" s="4" t="n">
        <f>G5*F5-E5</f>
        <v>0</v>
      </c>
    </row>
    <row r="6">
      <c r="A6" s="4" t="n">
        <v>2</v>
      </c>
      <c r="B6" s="19" t="str">
        <f>'BOM 1 clicker'!C6</f>
        <v>Header đực thẳng 1×40, 2,54mm</v>
      </c>
      <c r="C6" s="19" t="str">
        <f>'BOM 1 clicker'!G6</f>
        <v>IC Đây Rồi</v>
      </c>
      <c r="D6" s="46" t="str">
        <f>'BOM 1 clicker'!H6</f>
        <v>https://icdayroi.com/header-1x40-2-54mm-male</v>
      </c>
      <c r="E6" s="19" t="n">
        <f>'BOM 1 clicker'!F6*('Thong so'!$B$6+'Thong so'!$B$7)</f>
        <v>144</v>
      </c>
      <c r="F6" s="19" t="n">
        <f>'BOM 1 clicker'!I6</f>
        <v>40</v>
      </c>
      <c r="G6" s="4" t="n">
        <f>ROUNDUP(E6/F6,0)</f>
        <v>4</v>
      </c>
      <c r="H6" s="5" t="n">
        <f>IF('BOM 1 clicker'!K6="","",'BOM 1 clicker'!K6)</f>
        <v>1000</v>
      </c>
      <c r="I6" s="15" t="n">
        <f>IF(H6="","",G6*H6)</f>
        <v>4000</v>
      </c>
      <c r="J6" s="4" t="n">
        <f>G6*F6-E6</f>
        <v>16</v>
      </c>
    </row>
    <row r="7">
      <c r="A7" s="4" t="n">
        <v>3</v>
      </c>
      <c r="B7" s="19" t="str">
        <f>'BOM 1 clicker'!C7</f>
        <v>Module tăng áp 0,9–5V lên 5V USB (34×16,2mm)</v>
      </c>
      <c r="C7" s="19" t="str">
        <f>'BOM 1 clicker'!G7</f>
        <v>IC Đây Rồi</v>
      </c>
      <c r="D7" s="63" t="str">
        <v>https://icdayroi.com/mach-nguon-tang-ap-dc-0-9-5v-sang-5v-usb</v>
      </c>
      <c r="E7" s="19" t="n">
        <f>'BOM 1 clicker'!F7*('Thong so'!$B$6+'Thong so'!$B$7)</f>
        <v>6</v>
      </c>
      <c r="F7" s="19" t="n">
        <f>'BOM 1 clicker'!I7</f>
        <v>1</v>
      </c>
      <c r="G7" s="4" t="n">
        <f>ROUNDUP(E7/F7,0)</f>
        <v>6</v>
      </c>
      <c r="H7" s="5" t="n">
        <f>IF('BOM 1 clicker'!K7="","",'BOM 1 clicker'!K7)</f>
        <v>10000</v>
      </c>
      <c r="I7" s="15" t="n">
        <f>IF(H7="","",G7*H7)</f>
        <v>60000</v>
      </c>
      <c r="J7" s="4" t="n">
        <f>G7*F7-E7</f>
        <v>0</v>
      </c>
    </row>
    <row r="8">
      <c r="A8" s="4" t="n">
        <v>4</v>
      </c>
      <c r="B8" s="19" t="str">
        <f>'BOM 1 clicker'!C8</f>
        <v>Dây USB-A đực tới XH2.54 2 chân, 50cm IC20985</v>
      </c>
      <c r="C8" s="19" t="str">
        <f>'BOM 1 clicker'!G8</f>
        <v>Thế Giới IC</v>
      </c>
      <c r="D8" s="63" t="str">
        <v>https://www.thegioiic.com/day-usb-type-a-duc-noi-xh2-54-2-chan-dai-50cm</v>
      </c>
      <c r="E8" s="19" t="n">
        <f>'BOM 1 clicker'!F8*('Thong so'!$B$6+'Thong so'!$B$7)</f>
        <v>6</v>
      </c>
      <c r="F8" s="19" t="n">
        <f>'BOM 1 clicker'!I8</f>
        <v>1</v>
      </c>
      <c r="G8" s="4" t="n">
        <f>ROUNDUP(E8/F8,0)</f>
        <v>6</v>
      </c>
      <c r="H8" s="5" t="n">
        <f>IF('BOM 1 clicker'!K8="","",'BOM 1 clicker'!K8)</f>
        <v>26220</v>
      </c>
      <c r="I8" s="15" t="n">
        <f>IF(H8="","",G8*H8)</f>
        <v>157320</v>
      </c>
      <c r="J8" s="4" t="n">
        <f>G8*F8-E8</f>
        <v>0</v>
      </c>
    </row>
    <row r="9">
      <c r="A9" s="4" t="n">
        <v>5</v>
      </c>
      <c r="B9" s="19" t="str">
        <f>'BOM 1 clicker'!C9</f>
        <v>Khay hở 2×AA có dây, IC2410</v>
      </c>
      <c r="C9" s="19" t="str">
        <f>'BOM 1 clicker'!G9</f>
        <v>Thế Giới IC</v>
      </c>
      <c r="D9" s="47" t="str">
        <f>'BOM 1 clicker'!H9</f>
        <v>https://www.thegioiic.com/hop-pin-khay-pin-2xaa-day-noi-dai-15cm</v>
      </c>
      <c r="E9" s="19" t="n">
        <f>'BOM 1 clicker'!F9*('Thong so'!$B$6+'Thong so'!$B$7)</f>
        <v>6</v>
      </c>
      <c r="F9" s="19" t="n">
        <f>'BOM 1 clicker'!I9</f>
        <v>1</v>
      </c>
      <c r="G9" s="4" t="n">
        <f>ROUNDUP(E9/F9,0)</f>
        <v>6</v>
      </c>
      <c r="H9" s="5" t="n">
        <f>IF('BOM 1 clicker'!K9="","",'BOM 1 clicker'!K9)</f>
        <v>3420</v>
      </c>
      <c r="I9" s="15" t="n">
        <f>IF(H9="","",G9*H9)</f>
        <v>20520</v>
      </c>
      <c r="J9" s="4" t="n">
        <f>G9*F9-E9</f>
        <v>0</v>
      </c>
    </row>
    <row r="10">
      <c r="A10" s="4" t="n">
        <v>6</v>
      </c>
      <c r="B10" s="19" t="str">
        <f>'BOM 1 clicker'!C10</f>
        <v>Voniko alkaline AA LR6 2PK, 1,5 V, vỉ 2 viên</v>
      </c>
      <c r="C10" s="19" t="str">
        <f>'BOM 1 clicker'!G10</f>
        <v>Thế Giới IC</v>
      </c>
      <c r="D10" s="47" t="str">
        <f>'BOM 1 clicker'!H10</f>
        <v>https://www.thegioiic.com/vi-2-vien-pin-kiem-alkaline-aa-lr6-2pk-voniko-1-5v</v>
      </c>
      <c r="E10" s="19" t="n">
        <f>'BOM 1 clicker'!F10*('Thong so'!$B$6+'Thong so'!$B$7)</f>
        <v>12</v>
      </c>
      <c r="F10" s="19" t="n">
        <f>'BOM 1 clicker'!I10</f>
        <v>2</v>
      </c>
      <c r="G10" s="4" t="n">
        <f>ROUNDUP(E10/F10,0)</f>
        <v>6</v>
      </c>
      <c r="H10" s="5" t="n">
        <f>IF('BOM 1 clicker'!K10="","",'BOM 1 clicker'!K10)</f>
        <v>19600</v>
      </c>
      <c r="I10" s="15" t="n">
        <f>IF(H10="","",G10*H10)</f>
        <v>117600</v>
      </c>
      <c r="J10" s="4" t="n">
        <f>G10*F10-E10</f>
        <v>0</v>
      </c>
    </row>
    <row r="11">
      <c r="A11" s="4" t="n">
        <v>7</v>
      </c>
      <c r="B11" s="19" t="str">
        <f>'BOM 1 clicker'!C11</f>
        <v>Tụ điện 22 µF 16 V 1206 (gói 10 con)</v>
      </c>
      <c r="C11" s="19" t="str">
        <f>'BOM 1 clicker'!G11</f>
        <v>IC Đây Rồi</v>
      </c>
      <c r="D11" s="46" t="str">
        <f>'BOM 1 clicker'!H11</f>
        <v>Mở trang</v>
      </c>
      <c r="E11" s="19" t="n">
        <f>'BOM 1 clicker'!F11*('Thong so'!$B$6+'Thong so'!$B$7)</f>
        <v>6</v>
      </c>
      <c r="F11" s="19" t="n">
        <f>'BOM 1 clicker'!I11</f>
        <v>10</v>
      </c>
      <c r="G11" s="4" t="n">
        <f>ROUNDUP(E11/F11,0)</f>
        <v>1</v>
      </c>
      <c r="H11" s="5" t="n">
        <f>IF('BOM 1 clicker'!K11="","",'BOM 1 clicker'!K11)</f>
        <v>7000</v>
      </c>
      <c r="I11" s="15" t="n">
        <f>IF(H11="","",G11*H11)</f>
        <v>7000</v>
      </c>
      <c r="J11" s="4" t="n">
        <f>G11*F11-E11</f>
        <v>4</v>
      </c>
    </row>
    <row r="12">
      <c r="A12" s="4" t="n">
        <v>8</v>
      </c>
      <c r="B12" s="19" t="str">
        <f>'BOM 1 clicker'!C12</f>
        <v>Tụ điện 100 nF 50 V 0603 (gói 10 con)</v>
      </c>
      <c r="C12" s="19" t="str">
        <f>'BOM 1 clicker'!G12</f>
        <v>IC Đây Rồi</v>
      </c>
      <c r="D12" s="46" t="str">
        <f>'BOM 1 clicker'!H12</f>
        <v>Mở trang</v>
      </c>
      <c r="E12" s="19" t="n">
        <f>'BOM 1 clicker'!F12*('Thong so'!$B$6+'Thong so'!$B$7)</f>
        <v>6</v>
      </c>
      <c r="F12" s="19" t="n">
        <f>'BOM 1 clicker'!I12</f>
        <v>10</v>
      </c>
      <c r="G12" s="4" t="n">
        <f>ROUNDUP(E12/F12,0)</f>
        <v>1</v>
      </c>
      <c r="H12" s="5" t="n">
        <f>IF('BOM 1 clicker'!K12="","",'BOM 1 clicker'!K12)</f>
        <v>2000</v>
      </c>
      <c r="I12" s="15" t="n">
        <f>IF(H12="","",G12*H12)</f>
        <v>2000</v>
      </c>
      <c r="J12" s="4" t="n">
        <f>G12*F12-E12</f>
        <v>4</v>
      </c>
    </row>
    <row r="13">
      <c r="A13" s="4" t="n">
        <v>9</v>
      </c>
      <c r="B13" s="19" t="str">
        <f>'BOM 1 clicker'!C13</f>
        <v>MOSFET P AO3401 30 V 4 A SOT-23 (gói 5 con)</v>
      </c>
      <c r="C13" s="19" t="str">
        <f>'BOM 1 clicker'!G13</f>
        <v>IC Đây Rồi</v>
      </c>
      <c r="D13" s="46" t="str">
        <f>'BOM 1 clicker'!H13</f>
        <v>Mở trang</v>
      </c>
      <c r="E13" s="19" t="n">
        <f>'BOM 1 clicker'!F13*('Thong so'!$B$6+'Thong so'!$B$7)</f>
        <v>18</v>
      </c>
      <c r="F13" s="19" t="n">
        <f>'BOM 1 clicker'!I13</f>
        <v>5</v>
      </c>
      <c r="G13" s="4" t="n">
        <f>ROUNDUP(E13/F13,0)</f>
        <v>4</v>
      </c>
      <c r="H13" s="5" t="n">
        <f>IF('BOM 1 clicker'!K13="","",'BOM 1 clicker'!K13)</f>
        <v>2500</v>
      </c>
      <c r="I13" s="15" t="n">
        <f>IF(H13="","",G13*H13)</f>
        <v>10000</v>
      </c>
      <c r="J13" s="4" t="n">
        <f>G13*F13-E13</f>
        <v>2</v>
      </c>
    </row>
    <row r="14">
      <c r="A14" s="4" t="n">
        <v>10</v>
      </c>
      <c r="B14" s="19" t="str">
        <f>'BOM 1 clicker'!C14</f>
        <v>LED đôi 7 đoạn 3261BS, anode chung</v>
      </c>
      <c r="C14" s="19" t="str">
        <f>'BOM 1 clicker'!G14</f>
        <v>IC Đây Rồi</v>
      </c>
      <c r="D14" s="46" t="str">
        <f>'BOM 1 clicker'!H14</f>
        <v>Mở trang</v>
      </c>
      <c r="E14" s="19" t="n">
        <f>'BOM 1 clicker'!F14*('Thong so'!$B$6+'Thong so'!$B$7)</f>
        <v>6</v>
      </c>
      <c r="F14" s="19" t="n">
        <f>'BOM 1 clicker'!I14</f>
        <v>1</v>
      </c>
      <c r="G14" s="4" t="n">
        <f>ROUNDUP(E14/F14,0)</f>
        <v>6</v>
      </c>
      <c r="H14" s="5" t="n">
        <f>IF('BOM 1 clicker'!K14="","",'BOM 1 clicker'!K14)</f>
        <v>5000</v>
      </c>
      <c r="I14" s="15" t="n">
        <f>IF(H14="","",G14*H14)</f>
        <v>30000</v>
      </c>
      <c r="J14" s="4" t="n">
        <f>G14*F14-E14</f>
        <v>0</v>
      </c>
    </row>
    <row r="15">
      <c r="A15" s="4" t="n">
        <v>11</v>
      </c>
      <c r="B15" s="19" t="str">
        <f>'BOM 1 clicker'!C15</f>
        <v>LED đỏ 0603 (gói 10 con)</v>
      </c>
      <c r="C15" s="19" t="str">
        <f>'BOM 1 clicker'!G15</f>
        <v>IC Đây Rồi</v>
      </c>
      <c r="D15" s="46" t="str">
        <f>'BOM 1 clicker'!H15</f>
        <v>Mở trang</v>
      </c>
      <c r="E15" s="19" t="n">
        <f>'BOM 1 clicker'!F15*('Thong so'!$B$6+'Thong so'!$B$7)</f>
        <v>6</v>
      </c>
      <c r="F15" s="19" t="n">
        <f>'BOM 1 clicker'!I15</f>
        <v>10</v>
      </c>
      <c r="G15" s="4" t="n">
        <f>ROUNDUP(E15/F15,0)</f>
        <v>1</v>
      </c>
      <c r="H15" s="5" t="n">
        <f>IF('BOM 1 clicker'!K15="","",'BOM 1 clicker'!K15)</f>
        <v>2000</v>
      </c>
      <c r="I15" s="15" t="n">
        <f>IF(H15="","",G15*H15)</f>
        <v>2000</v>
      </c>
      <c r="J15" s="4" t="n">
        <f>G15*F15-E15</f>
        <v>4</v>
      </c>
    </row>
    <row r="16">
      <c r="A16" s="4" t="n">
        <v>12</v>
      </c>
      <c r="B16" s="19" t="str">
        <f>'BOM 1 clicker'!C16</f>
        <v>LED green 0603 (gói 10 con, cần xác nhận VF)</v>
      </c>
      <c r="C16" s="19" t="str">
        <f>'BOM 1 clicker'!G16</f>
        <v>IC Đây Rồi</v>
      </c>
      <c r="D16" s="46" t="str">
        <f>'BOM 1 clicker'!H16</f>
        <v>Mở trang</v>
      </c>
      <c r="E16" s="19" t="n">
        <f>'BOM 1 clicker'!F16*('Thong so'!$B$6+'Thong so'!$B$7)</f>
        <v>6</v>
      </c>
      <c r="F16" s="19" t="n">
        <f>'BOM 1 clicker'!I16</f>
        <v>10</v>
      </c>
      <c r="G16" s="4" t="n">
        <f>ROUNDUP(E16/F16,0)</f>
        <v>1</v>
      </c>
      <c r="H16" s="5" t="n">
        <f>IF('BOM 1 clicker'!K16="","",'BOM 1 clicker'!K16)</f>
        <v>3000</v>
      </c>
      <c r="I16" s="15" t="n">
        <f>IF(H16="","",G16*H16)</f>
        <v>3000</v>
      </c>
      <c r="J16" s="4" t="n">
        <f>G16*F16-E16</f>
        <v>4</v>
      </c>
    </row>
    <row r="17">
      <c r="A17" s="4" t="n">
        <v>13</v>
      </c>
      <c r="B17" s="19" t="str">
        <f>'BOM 1 clicker'!C17</f>
        <v>Nút 2 chân SMD IC3236, cao 5 mm</v>
      </c>
      <c r="C17" s="19" t="str">
        <f>'BOM 1 clicker'!G17</f>
        <v>Thế Giới IC</v>
      </c>
      <c r="D17" s="47" t="str">
        <f>'BOM 1 clicker'!H17</f>
        <v>https://www.thegioiic.com/nut-nhan-6x6mm-cao-5mm-2-chan-smd-chong-nuoc</v>
      </c>
      <c r="E17" s="19" t="n">
        <f>'BOM 1 clicker'!F17*('Thong so'!$B$6+'Thong so'!$B$7)</f>
        <v>84</v>
      </c>
      <c r="F17" s="19" t="n">
        <f>'BOM 1 clicker'!I17</f>
        <v>1</v>
      </c>
      <c r="G17" s="4" t="n">
        <f>ROUNDUP(E17/F17,0)</f>
        <v>84</v>
      </c>
      <c r="H17" s="5" t="n">
        <f>IF('BOM 1 clicker'!K17="","",'BOM 1 clicker'!K17)</f>
        <v>1710</v>
      </c>
      <c r="I17" s="15" t="n">
        <f>IF(H17="","",G17*H17)</f>
        <v>143640</v>
      </c>
      <c r="J17" s="4" t="n">
        <f>G17*F17-E17</f>
        <v>0</v>
      </c>
    </row>
    <row r="18">
      <c r="A18" s="4" t="n">
        <v>14</v>
      </c>
      <c r="B18" s="19" t="str">
        <f>'BOM 1 clicker'!C18</f>
        <v>Điện trở 1K 0603 1 % (gói 100 con)</v>
      </c>
      <c r="C18" s="19" t="str">
        <f>'BOM 1 clicker'!G18</f>
        <v>IC Đây Rồi</v>
      </c>
      <c r="D18" s="46" t="str">
        <f>'BOM 1 clicker'!H18</f>
        <v>Mở trang</v>
      </c>
      <c r="E18" s="19" t="n">
        <f>'BOM 1 clicker'!F18*('Thong so'!$B$6+'Thong so'!$B$7)</f>
        <v>36</v>
      </c>
      <c r="F18" s="19" t="n">
        <f>'BOM 1 clicker'!I18</f>
        <v>100</v>
      </c>
      <c r="G18" s="4" t="n">
        <f>ROUNDUP(E18/F18,0)</f>
        <v>1</v>
      </c>
      <c r="H18" s="5" t="n">
        <f>IF('BOM 1 clicker'!K18="","",'BOM 1 clicker'!K18)</f>
        <v>4000</v>
      </c>
      <c r="I18" s="15" t="n">
        <f>IF(H18="","",G18*H18)</f>
        <v>4000</v>
      </c>
      <c r="J18" s="4" t="n">
        <f>G18*F18-E18</f>
        <v>64</v>
      </c>
    </row>
    <row r="19">
      <c r="A19" s="4" t="n">
        <v>15</v>
      </c>
      <c r="B19" s="19" t="str">
        <f>'BOM 1 clicker'!C19</f>
        <v>Điện trở 470R 0603 1 % (gói 100 con)</v>
      </c>
      <c r="C19" s="19" t="str">
        <f>'BOM 1 clicker'!G19</f>
        <v>IC Đây Rồi</v>
      </c>
      <c r="D19" s="46" t="str">
        <f>'BOM 1 clicker'!H19</f>
        <v>Mở trang</v>
      </c>
      <c r="E19" s="19" t="n">
        <f>'BOM 1 clicker'!F19*('Thong so'!$B$6+'Thong so'!$B$7)</f>
        <v>48</v>
      </c>
      <c r="F19" s="19" t="n">
        <f>'BOM 1 clicker'!I19</f>
        <v>100</v>
      </c>
      <c r="G19" s="4" t="n">
        <f>ROUNDUP(E19/F19,0)</f>
        <v>1</v>
      </c>
      <c r="H19" s="5" t="n">
        <f>IF('BOM 1 clicker'!K19="","",'BOM 1 clicker'!K19)</f>
        <v>4000</v>
      </c>
      <c r="I19" s="15" t="n">
        <f>IF(H19="","",G19*H19)</f>
        <v>4000</v>
      </c>
      <c r="J19" s="4" t="n">
        <f>G19*F19-E19</f>
        <v>52</v>
      </c>
    </row>
    <row r="20">
      <c r="A20" s="4" t="n">
        <v>16</v>
      </c>
      <c r="B20" s="19" t="str">
        <f>'BOM 1 clicker'!C20</f>
        <v>Diode 1N4148WS SOD-323 (gói 10 con)</v>
      </c>
      <c r="C20" s="19" t="str">
        <f>'BOM 1 clicker'!G20</f>
        <v>IC Đây Rồi</v>
      </c>
      <c r="D20" s="46" t="str">
        <f>'BOM 1 clicker'!H20</f>
        <v>Mở trang</v>
      </c>
      <c r="E20" s="19" t="n">
        <f>'BOM 1 clicker'!F20*('Thong so'!$B$6+'Thong so'!$B$7)</f>
        <v>6</v>
      </c>
      <c r="F20" s="19" t="n">
        <f>'BOM 1 clicker'!I20</f>
        <v>10</v>
      </c>
      <c r="G20" s="4" t="n">
        <f>ROUNDUP(E20/F20,0)</f>
        <v>1</v>
      </c>
      <c r="H20" s="5" t="n">
        <f>IF('BOM 1 clicker'!K20="","",'BOM 1 clicker'!K20)</f>
        <v>2000</v>
      </c>
      <c r="I20" s="15" t="n">
        <f>IF(H20="","",G20*H20)</f>
        <v>2000</v>
      </c>
      <c r="J20" s="4" t="n">
        <f>G20*F20-E20</f>
        <v>4</v>
      </c>
    </row>
    <row r="21">
      <c r="A21" s="4" t="n">
        <v>17</v>
      </c>
      <c r="B21" s="19" t="str">
        <f>'BOM 1 clicker'!C21</f>
        <v>Điện trở 100K 0603 1 % (gói 100 con)</v>
      </c>
      <c r="C21" s="19" t="str">
        <f>'BOM 1 clicker'!G21</f>
        <v>IC Đây Rồi</v>
      </c>
      <c r="D21" s="46" t="str">
        <f>'BOM 1 clicker'!H21</f>
        <v>Mở trang</v>
      </c>
      <c r="E21" s="19" t="n">
        <f>'BOM 1 clicker'!F21*('Thong so'!$B$6+'Thong so'!$B$7)</f>
        <v>12</v>
      </c>
      <c r="F21" s="19" t="n">
        <f>'BOM 1 clicker'!I21</f>
        <v>100</v>
      </c>
      <c r="G21" s="4" t="n">
        <f>ROUNDUP(E21/F21,0)</f>
        <v>1</v>
      </c>
      <c r="H21" s="5" t="n">
        <f>IF('BOM 1 clicker'!K21="","",'BOM 1 clicker'!K21)</f>
        <v>4000</v>
      </c>
      <c r="I21" s="15" t="n">
        <f>IF(H21="","",G21*H21)</f>
        <v>4000</v>
      </c>
      <c r="J21" s="4" t="n">
        <f>G21*F21-E21</f>
        <v>88</v>
      </c>
    </row>
    <row r="22">
      <c r="A22" s="4" t="n">
        <v>18</v>
      </c>
      <c r="B22" s="19" t="str">
        <f>'BOM 1 clicker'!C22</f>
        <v>Tụ điện 10 µF 25 V 0603 (gói 10 con)</v>
      </c>
      <c r="C22" s="19" t="str">
        <f>'BOM 1 clicker'!G22</f>
        <v>IC Đây Rồi</v>
      </c>
      <c r="D22" s="46" t="str">
        <f>'BOM 1 clicker'!H22</f>
        <v>Mở trang</v>
      </c>
      <c r="E22" s="19" t="n">
        <f>'BOM 1 clicker'!F22*('Thong so'!$B$6+'Thong so'!$B$7)</f>
        <v>6</v>
      </c>
      <c r="F22" s="19" t="n">
        <f>'BOM 1 clicker'!I22</f>
        <v>10</v>
      </c>
      <c r="G22" s="4" t="n">
        <f>ROUNDUP(E22/F22,0)</f>
        <v>1</v>
      </c>
      <c r="H22" s="5" t="n">
        <f>IF('BOM 1 clicker'!K22="","",'BOM 1 clicker'!K22)</f>
        <v>4000</v>
      </c>
      <c r="I22" s="15" t="n">
        <f>IF(H22="","",G22*H22)</f>
        <v>4000</v>
      </c>
      <c r="J22" s="4" t="n">
        <f>G22*F22-E22</f>
        <v>4</v>
      </c>
    </row>
    <row r="23">
      <c r="A23" s="4" t="n">
        <v>19</v>
      </c>
      <c r="B23" s="19" t="str">
        <f>'BOM 1 clicker'!C23</f>
        <v>Điện trở 100R 0603 1 % (gói 100 con)</v>
      </c>
      <c r="C23" s="19" t="str">
        <f>'BOM 1 clicker'!G23</f>
        <v>IC Đây Rồi</v>
      </c>
      <c r="D23" s="46" t="str">
        <f>'BOM 1 clicker'!H23</f>
        <v>Mở trang</v>
      </c>
      <c r="E23" s="19" t="n">
        <f>'BOM 1 clicker'!F23*('Thong so'!$B$6+'Thong so'!$B$7)</f>
        <v>6</v>
      </c>
      <c r="F23" s="19" t="n">
        <f>'BOM 1 clicker'!I23</f>
        <v>100</v>
      </c>
      <c r="G23" s="4" t="n">
        <f>ROUNDUP(E23/F23,0)</f>
        <v>1</v>
      </c>
      <c r="H23" s="5" t="n">
        <f>IF('BOM 1 clicker'!K23="","",'BOM 1 clicker'!K23)</f>
        <v>4000</v>
      </c>
      <c r="I23" s="15" t="n">
        <f>IF(H23="","",G23*H23)</f>
        <v>4000</v>
      </c>
      <c r="J23" s="4" t="n">
        <f>G23*F23-E23</f>
        <v>94</v>
      </c>
    </row>
    <row r="24" ht="85" customHeight="1">
      <c r="A24" t="n">
        <v>20</v>
      </c>
      <c r="B24" t="str">
        <f>'BOM 1 clicker'!C24</f>
        <v>R19 đã bỏ — không mua</v>
      </c>
      <c r="C24" t="str">
        <f>'BOM 1 clicker'!G24</f>
        <v>Không mua</v>
      </c>
      <c r="D24" s="63" t="str"/>
      <c r="E24" t="n">
        <f>'BOM 1 clicker'!F24*('Thong so'!$B$6+'Thong so'!$B$7)</f>
        <v>0</v>
      </c>
      <c r="F24" t="n">
        <f>'BOM 1 clicker'!I24</f>
        <v>1</v>
      </c>
      <c r="G24" t="n">
        <f>ROUNDUP(E24/F24,0)</f>
        <v>0</v>
      </c>
      <c r="H24" t="str">
        <f>IF('BOM 1 clicker'!K24="","",'BOM 1 clicker'!K24)</f>
      </c>
      <c r="I24" t="str">
        <f>IF(H24="","",G24*H24)</f>
      </c>
      <c r="J24" t="n">
        <f>G24*F24-E24</f>
        <v>0</v>
      </c>
    </row>
    <row r="25" ht="85" customHeight="1">
      <c r="A25" t="n">
        <v>21</v>
      </c>
      <c r="B25" t="str">
        <f>'BOM 1 clicker'!C25</f>
        <v>R20 đã bỏ — không mua</v>
      </c>
      <c r="C25" t="str">
        <f>'BOM 1 clicker'!G25</f>
        <v>Không mua</v>
      </c>
      <c r="D25" s="63" t="str"/>
      <c r="E25" t="n">
        <f>'BOM 1 clicker'!F25*('Thong so'!$B$6+'Thong so'!$B$7)</f>
        <v>0</v>
      </c>
      <c r="F25" t="n">
        <f>'BOM 1 clicker'!I25</f>
        <v>1</v>
      </c>
      <c r="G25" t="n">
        <f>ROUNDUP(E25/F25,0)</f>
        <v>0</v>
      </c>
      <c r="H25" s="20" t="str">
        <f>IF('BOM 1 clicker'!K25="","",'BOM 1 clicker'!K25)</f>
      </c>
      <c r="I25" s="17" t="str">
        <f>IF(H25="","",G25*H25)</f>
      </c>
      <c r="J25" t="n">
        <f>G25*F25-E25</f>
        <v>0</v>
      </c>
    </row>
    <row r="26" ht="85" customHeight="1">
      <c r="A26" s="8" t="n">
        <v>22</v>
      </c>
      <c r="B26" t="str">
        <f>'BOM 1 clicker'!C26</f>
        <v>Dây USB-C đực 2 lõi 75 mm IC41762</v>
      </c>
      <c r="C26" t="str">
        <f>'BOM 1 clicker'!G26</f>
        <v>Thế Giới IC</v>
      </c>
      <c r="D26" s="47" t="str">
        <f>'BOM 1 clicker'!H26</f>
        <v>https://www.thegioiic.com/day-cap-usb-type-c-duc-2-chan-dai-75mm</v>
      </c>
      <c r="E26" t="n">
        <f>'BOM 1 clicker'!F26*('Thong so'!$B$6+'Thong so'!$B$7)</f>
        <v>6</v>
      </c>
      <c r="F26" t="n">
        <f>'BOM 1 clicker'!I26</f>
        <v>1</v>
      </c>
      <c r="G26" t="n">
        <f>ROUNDUP(E26/F26,0)</f>
        <v>6</v>
      </c>
      <c r="H26" t="n">
        <f>IF('BOM 1 clicker'!K26="","",'BOM 1 clicker'!K26)</f>
        <v>7980</v>
      </c>
      <c r="I26" t="n">
        <f>IF(H26="","",G26*H26)</f>
        <v>47880</v>
      </c>
      <c r="J26" t="n">
        <f>G26*F26-E26</f>
        <v>0</v>
      </c>
    </row>
    <row r="27">
      <c r="A27" s="8" t="n">
        <v>23</v>
      </c>
      <c r="B27" t="str">
        <f>'BOM 1 clicker'!C27</f>
        <v>Công tắc gạt ngang SS-12F23G4, IC20132</v>
      </c>
      <c r="C27" t="str">
        <f>'BOM 1 clicker'!G27</f>
        <v>Thế Giới IC</v>
      </c>
      <c r="D27" s="47" t="str">
        <f>'BOM 1 clicker'!H27</f>
        <v>https://www.thegioiic.com/ss-12f23g4-cong-tac-truot-5-chan-xuyen-lo-on-off-chinh-ngang-1p2t-2a</v>
      </c>
      <c r="E27" t="n">
        <f>'BOM 1 clicker'!F27*('Thong so'!$B$6+'Thong so'!$B$7)</f>
        <v>6</v>
      </c>
      <c r="F27" t="n">
        <f>'BOM 1 clicker'!I27</f>
        <v>10</v>
      </c>
      <c r="G27" t="n">
        <f>ROUNDUP(E27/F27,0)</f>
        <v>1</v>
      </c>
      <c r="H27" t="n">
        <f>'BOM 1 clicker'!K27</f>
        <v>8550</v>
      </c>
      <c r="I27" t="n">
        <f>G27*H27</f>
        <v>8550</v>
      </c>
      <c r="J27" t="n">
        <f>G27*F27-E27</f>
        <v>4</v>
      </c>
    </row>
    <row r="28">
      <c r="H28" t="str">
        <v>Tổng linh kiện</v>
      </c>
      <c r="I28" t="str">
        <f>IF(COUNT(H5:H27)&lt;ROWS(H5:H27),"n.a.",SUM(I5:I27))</f>
        <v>n.a.</v>
      </c>
    </row>
    <row r="30" ht="38" customHeight="1">
      <c r="A30" s="31" t="str">
        <v>Khay pin và SW15 từ Thế Giới IC; header từ IC Đây Rồi. SW15 mua tối thiểu 10, bội 5; header tính theo thanh 40 chân.</v>
      </c>
      <c r="B30" s="31"/>
      <c r="C30" s="31"/>
      <c r="D30" s="31"/>
      <c r="E30" s="31"/>
      <c r="F30" s="31"/>
      <c r="G30" s="31"/>
      <c r="H30" s="31"/>
      <c r="I30" s="31"/>
      <c r="J30" s="31"/>
    </row>
  </sheetData>
  <mergeCells>
    <mergeCell ref="A30:J30"/>
  </mergeCells>
  <hyperlinks>
    <hyperlink ref="D5" r:id="R34deace13d364ce4"/>
    <hyperlink ref="D6" r:id="Ra55bad90029e4c8f"/>
    <hyperlink ref="D7" r:id="Rd13c2644c2ca4d14"/>
    <hyperlink ref="D8" r:id="R6f50806c382f457b"/>
    <hyperlink ref="D9" r:id="R3468dceeebbf4001"/>
    <hyperlink ref="D10" r:id="R58db51e1d9734f82"/>
    <hyperlink ref="D11" r:id="R2c05a9eae1a240b0"/>
    <hyperlink ref="D12" r:id="R033a158c539e435d"/>
    <hyperlink ref="D13" r:id="R378fa8de24314163"/>
    <hyperlink ref="D14" r:id="Rbd995fc18e0d4df3"/>
    <hyperlink ref="D15" r:id="Rfde4a678248143eb"/>
    <hyperlink ref="D16" r:id="R83397cccf4d3498d"/>
    <hyperlink ref="D17" r:id="R62d0d82b63ad458e"/>
    <hyperlink ref="D18" r:id="Raa43c2bcaee746f6"/>
    <hyperlink ref="D19" r:id="R2bcb7c15a9694297"/>
    <hyperlink ref="D20" r:id="Ra9efe8c9f85d40e0"/>
    <hyperlink ref="D21" r:id="R500cd6b85fce4202"/>
    <hyperlink ref="D22" r:id="R7b2ec4d210f04874"/>
    <hyperlink ref="D23" r:id="Rbb17e4fb0dcf4274"/>
    <hyperlink ref="D26" r:id="R7d312e54ebb04fb8"/>
    <hyperlink ref="D27" r:id="Rb8c6ba4f1511471e"/>
  </hyperlinks>
  <pageMargins left="0.7" right="0.7" top="0.75" bottom="0.75" header="0.3" footer="0.3"/>
</worksheet>
</file>

<file path=xl/worksheets/sheet5.xml><?xml version="1.0" encoding="utf-8"?>
<x:worksheet xmlns:x="http://schemas.openxmlformats.org/spreadsheetml/2006/main">
  <x:sheetViews>
    <x:sheetView showGridLines="0" workbookViewId="0"/>
  </x:sheetViews>
  <x:sheetFormatPr baseColWidth="8" defaultRowHeight="15"/>
  <x:cols>
    <x:col min="1" max="1" width="5" customWidth="1"/>
    <x:col min="2" max="2" width="30" customWidth="1"/>
    <x:col min="3" max="3" width="44" customWidth="1"/>
    <x:col min="4" max="4" width="6" customWidth="1"/>
    <x:col min="5" max="5" width="16" customWidth="1"/>
    <x:col min="6" max="6" width="11" customWidth="1"/>
    <x:col min="7" max="7" width="13" customWidth="1"/>
    <x:col min="8" max="8" width="15" customWidth="1"/>
  </x:cols>
  <x:sheetData>
    <x:row r="1">
      <x:c r="A1" s="1" t="inlineStr">
        <x:is>
          <x:t xml:space="preserve">Gateway, board thử và trình nạp</x:t>
        </x:is>
      </x:c>
    </x:row>
    <x:row r="2">
      <x:c r="A2" s="2" t="str">
        <x:v>Gateway và dụng cụ không thuộc trần 300.000đ/remote.</x:v>
      </x:c>
    </x:row>
    <x:row r="4" ht="32" customHeight="1">
      <x:c r="A4" s="3" t="inlineStr">
        <x:is>
          <x:t xml:space="preserve">STT</x:t>
        </x:is>
      </x:c>
      <x:c r="B4" s="3" t="inlineStr">
        <x:is>
          <x:t xml:space="preserve">Món</x:t>
        </x:is>
      </x:c>
      <x:c r="C4" s="3" t="inlineStr">
        <x:is>
          <x:t xml:space="preserve">Dùng để</x:t>
        </x:is>
      </x:c>
      <x:c r="D4" s="3" t="inlineStr">
        <x:is>
          <x:t xml:space="preserve">SL</x:t>
        </x:is>
      </x:c>
      <x:c r="E4" s="3" t="inlineStr">
        <x:is>
          <x:t xml:space="preserve">Nơi mua</x:t>
        </x:is>
      </x:c>
      <x:c r="F4" s="3" t="inlineStr">
        <x:is>
          <x:t xml:space="preserve">Link</x:t>
        </x:is>
      </x:c>
      <x:c r="G4" s="3" t="inlineStr">
        <x:is>
          <x:t xml:space="preserve">Đơn giá (đ)</x:t>
        </x:is>
      </x:c>
      <x:c r="H4" s="3" t="inlineStr">
        <x:is>
          <x:t xml:space="preserve">Thành tiền (đ)</x:t>
        </x:is>
      </x:c>
    </x:row>
    <x:row r="5">
      <x:c r="A5" s="4" t="n">
        <x:v>1</x:v>
      </x:c>
      <x:c r="B5" s="4" t="inlineStr">
        <x:is>
          <x:t xml:space="preserve">SuperMini nRF52840 (ProMicro)</x:t>
        </x:is>
      </x:c>
      <x:c r="C5" s="4" t="inlineStr">
        <x:is>
          <x:t xml:space="preserve">Gateway cắm USB laptop, chạy firmware quét BLE → JSON qua USB → script Python → MQTT</x:t>
        </x:is>
      </x:c>
      <x:c r="D5" s="11" t="n">
        <x:v>1</x:v>
      </x:c>
      <x:c r="E5" s="4" t="inlineStr">
        <x:is>
          <x:t xml:space="preserve">IC Đây Rồi</x:t>
        </x:is>
      </x:c>
      <x:c r="F5" s="12" t="inlineStr">
        <x:is>
          <x:t xml:space="preserve">Mở trang</x:t>
        </x:is>
      </x:c>
      <x:c r="G5" s="14" t="n">
        <x:v>150000</x:v>
      </x:c>
      <x:c r="H5" s="15" t="n">
        <x:f>D5*G5</x:f>
        <x:v>150000</x:v>
      </x:c>
    </x:row>
    <x:row r="6">
      <x:c r="A6" s="4" t="n">
        <x:v>2</x:v>
      </x:c>
      <x:c r="B6" s="4" t="inlineStr">
        <x:is>
          <x:t xml:space="preserve">Máy chủ (laptop sẵn có)</x:t>
        </x:is>
      </x:c>
      <x:c r="C6" s="4" t="inlineStr">
        <x:is>
          <x:t xml:space="preserve">Chạy Mosquitto + MariaDB + Apache/PHP</x:t>
        </x:is>
      </x:c>
      <x:c r="D6" s="11" t="n">
        <x:v>1</x:v>
      </x:c>
      <x:c r="E6" s="4" t="inlineStr">
        <x:is>
          <x:t xml:space="preserve">Có sẵn</x:t>
        </x:is>
      </x:c>
      <x:c r="F6" s="4" t="inlineStr">
        <x:is>
          <x:t xml:space="preserve">—</x:t>
        </x:is>
      </x:c>
      <x:c r="G6" s="14" t="n">
        <x:v>0</x:v>
      </x:c>
      <x:c r="H6" s="15" t="n">
        <x:f>D6*G6</x:f>
        <x:v>0</x:v>
      </x:c>
    </x:row>
    <x:row r="8">
      <x:c r="G8" s="20" t="inlineStr">
        <x:is>
          <x:t xml:space="preserve">Tổng</x:t>
        </x:is>
      </x:c>
      <x:c r="H8" s="17" t="n">
        <x:f>SUM(H5:H6)</x:f>
        <x:v>150000</x:v>
      </x:c>
    </x:row>
    <x:row r="9">
      <x:c r="A9" s="8" t="inlineStr">
        <x:is>
          <x:t xml:space="preserve">Không cần mạch nạp SWD nữa: SuperMini nạp qua USB bằng bootloader UF2 (chập RST xuống GND 2 lần để vào chế độ nạp). Board clicker đã tính trong BOM nên phát triển firmware ngay khi board về, không cần chờ PCB.</x:t>
        </x:is>
      </x:c>
    </x:row>
  </x:sheetData>
  <x:hyperlinks>
    <x:hyperlink xmlns:r="http://schemas.openxmlformats.org/officeDocument/2006/relationships" ref="F5" r:id="R63f7f22e17e140a3"/>
  </x:hyperlinks>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5" customWidth="1"/>
    <x:col min="2" max="2" width="34" customWidth="1"/>
    <x:col min="3" max="3" width="60" customWidth="1"/>
    <x:col min="4" max="4" width="11" customWidth="1"/>
    <x:col min="5" max="5" width="15" customWidth="1"/>
  </x:cols>
  <x:sheetData>
    <x:row r="1">
      <x:c r="A1" s="1" t="str">
        <x:v>Chi phí gia công (ngoài trần 300.000đ)</x:v>
      </x:c>
    </x:row>
    <x:row r="2">
      <x:c r="A2" s="2" t="inlineStr">
        <x:is>
          <x:t xml:space="preserve">Ô nền vàng: nhập số thực khi thanh toán hoặc khi có báo giá.</x:t>
        </x:is>
      </x:c>
    </x:row>
    <x:row r="4" ht="32" customHeight="1">
      <x:c r="A4" s="3" t="inlineStr">
        <x:is>
          <x:t xml:space="preserve">STT</x:t>
        </x:is>
      </x:c>
      <x:c r="B4" s="3" t="inlineStr">
        <x:is>
          <x:t xml:space="preserve">Hạng mục</x:t>
        </x:is>
      </x:c>
      <x:c r="C4" s="3" t="inlineStr">
        <x:is>
          <x:t xml:space="preserve">Ghi chú</x:t>
        </x:is>
      </x:c>
      <x:c r="D4" s="3" t="inlineStr">
        <x:is>
          <x:t xml:space="preserve">Giá (USD)</x:t>
        </x:is>
      </x:c>
      <x:c r="E4" s="3" t="inlineStr">
        <x:is>
          <x:t xml:space="preserve">Giá (đ)</x:t>
        </x:is>
      </x:c>
    </x:row>
    <x:row r="5" ht="55" customHeight="1">
      <x:c r="A5" s="4" t="n">
        <x:v>1</x:v>
      </x:c>
      <x:c r="B5" s="30" t="str">
        <x:v>PCB 2 lớp FR-4 68×80mm (Rev J), kế hoạch 5 tấm</x:v>
      </x:c>
      <x:c r="C5" s="30" t="str">
        <x:v>Dày 1,6mm, 1oz, xanh lá, ký hiệu trắng. Giá cũ của bo 60×80mm chỉ tham khảo; cần xin lại báo giá.</x:v>
      </x:c>
      <x:c r="D5" s="21" t="n">
        <x:v>2</x:v>
      </x:c>
      <x:c r="E5" s="22" t="n">
        <x:f>D5*'Thong so'!$B$5</x:f>
        <x:v>52360</x:v>
      </x:c>
    </x:row>
    <x:row r="6">
      <x:c r="A6" s="4" t="n">
        <x:v>2</x:v>
      </x:c>
      <x:c r="B6" s="4" t="inlineStr">
        <x:is>
          <x:t xml:space="preserve">Stencil JLCPCB</x:t>
        </x:is>
      </x:c>
      <x:c r="C6" s="4" t="str">
        <x:v>U1 WSON có pad giữa: nên dùng stencil và khò/reflow. Nút SMD có via trong land: hàn tay, xem hướng dẫn.</x:v>
      </x:c>
      <x:c r="D6" s="21" t="n">
        <x:v>3</x:v>
      </x:c>
      <x:c r="E6" s="22" t="n">
        <x:f>D6*'Thong so'!$B$5</x:f>
        <x:v>78540</x:v>
      </x:c>
    </x:row>
    <x:row r="7" ht="39" customHeight="1">
      <x:c r="A7" s="4" t="n">
        <x:v>3</x:v>
      </x:c>
      <x:c r="B7" s="30" t="str">
        <x:v>Phí vận chuyển PCB và linh kiện</x:v>
      </x:c>
      <x:c r="C7" s="30" t="str">
        <x:v>Có linh kiện nguồn và hộp pin ngoài hai shop ưu tiên, cần dự trù giao hàng riêng.</x:v>
      </x:c>
      <x:c r="D7" s="13" t="n"/>
      <x:c r="E7" s="23" t="n">
        <x:v>0</x:v>
      </x:c>
    </x:row>
    <x:row r="8">
      <x:c r="A8" s="4" t="n">
        <x:v>4</x:v>
      </x:c>
      <x:c r="B8" s="4" t="inlineStr">
        <x:is>
          <x:t xml:space="preserve">In 3D vỏ hộp × 5</x:t>
        </x:is>
      </x:c>
      <x:c r="C8" s="4" t="str">
        <x:v>Bố trí giấy đề xuất vỏ 76×124×20mm, thành 1,5mm; pin cạnh PCB. Đo cụm AA ≤16,5mm để chừa khe trong cao 17mm. Đo module và chốt phím/vỏ theo mẫu thật. Chưa có CAD vỏ.</x:v>
      </x:c>
      <x:c r="D8" s="13" t="n"/>
      <x:c r="E8" s="23" t="n">
        <x:v>0</x:v>
      </x:c>
    </x:row>
    <x:row r="10">
      <x:c r="D10" s="20" t="inlineStr">
        <x:is>
          <x:t xml:space="preserve">Tổng</x:t>
        </x:is>
      </x:c>
      <x:c r="E10" s="17" t="n">
        <x:f>SUM(E5:E8)</x:f>
        <x:v>130900</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22" customWidth="1"/>
    <x:col min="2" max="2" width="36" customWidth="1"/>
    <x:col min="3" max="3" width="44" customWidth="1"/>
    <x:col min="4" max="4" width="46" customWidth="1"/>
  </x:cols>
  <x:sheetData>
    <x:row r="1">
      <x:c r="A1" s="1" t="str">
        <x:v>Lắp ráp và gán chân — Rev J</x:v>
      </x:c>
    </x:row>
    <x:row r="2">
      <x:c r="A2" s="2" t="str">
        <x:v>SuperMini hàn chân thấp. Khay AA và module boost USB nằm cạnh PCB, không xếp chồng. Vỏ cần đo mẫu module/đầu USB thật.</x:v>
      </x:c>
    </x:row>
    <x:row r="4" ht="32" customHeight="1">
      <x:c r="A4" s="3" t="inlineStr">
        <x:is>
          <x:t xml:space="preserve">Hạng mục</x:t>
        </x:is>
      </x:c>
      <x:c r="B4" s="3" t="inlineStr">
        <x:is>
          <x:t xml:space="preserve">Bản cũ (hàn E73)</x:t>
        </x:is>
      </x:c>
      <x:c r="C4" s="3" t="str">
        <x:v>Rev J</x:v>
      </x:c>
      <x:c r="D4" s="3" t="inlineStr">
        <x:is>
          <x:t xml:space="preserve">Ảnh hưởng tới đồ án</x:t>
        </x:is>
      </x:c>
    </x:row>
    <x:row r="5" ht="71" customHeight="1">
      <x:c r="A5" s="24" t="str">
        <x:v>Rev J</x:v>
      </x:c>
      <x:c r="B5" s="4" t="str">
        <x:v>Rev I: TPS61099, L1, R19/R20 trên bo</x:v>
      </x:c>
      <x:c r="C5" s="30" t="str">
        <x:v>Module boost USB ngoài bo; thêm J5/J6</x:v>
      </x:c>
      <x:c r="D5" s="4" t="str">
        <x:v>Bỏ 3 món LCSC; PCB vẫn 68×80mm, track 0,25mm.</x:v>
      </x:c>
    </x:row>
    <x:row r="6" ht="55" customHeight="1">
      <x:c r="A6" s="24" t="str">
        <x:v>Nơi mua</x:v>
      </x:c>
      <x:c r="B6" s="4" t="str">
        <x:v>U1/L1/R20 mua LCSC</x:v>
      </x:c>
      <x:c r="C6" s="30" t="str">
        <x:v>Module IC Đây Rồi; dây USB-A Thế Giới IC</x:v>
      </x:c>
      <x:c r="D6" s="4" t="str">
        <x:v>Kiểm tra tồn kho trước khi đến; giữ link mua trong BOM.</x:v>
      </x:c>
    </x:row>
    <x:row r="7">
      <x:c r="A7" s="24" t="str">
        <x:v>Lắp ráp</x:v>
      </x:c>
      <x:c r="B7" s="4" t="str">
        <x:v>Bản cũ dùng đế cái</x:v>
      </x:c>
      <x:c r="C7" s="4" t="str">
        <x:v>Tự hàn module trên 2 hàng chân thấp</x:v>
      </x:c>
      <x:c r="D7" s="4" t="str">
        <x:v>Không lắp lại đế cái nếu muốn giữ độ mỏng.</x:v>
      </x:c>
    </x:row>
    <x:row r="8" ht="55" customHeight="1">
      <x:c r="A8" s="24" t="str">
        <x:v>Kích thước</x:v>
      </x:c>
      <x:c r="B8" s="4" t="str">
        <x:v>PCB Rev H 60×80mm</x:v>
      </x:c>
      <x:c r="C8" s="30" t="str">
        <x:v>PCB Rev J 68×80mm, thêm 8mm cạnh phải cho công tắc</x:v>
      </x:c>
      <x:c r="D8" s="30" t="str">
        <x:v>Vỏ phải lớn hơn PCB; khoang pin riêng, tránh vùng anten.</x:v>
      </x:c>
    </x:row>
    <x:row r="9" ht="39" customHeight="1">
      <x:c r="A9" s="24" t="str">
        <x:v>Nút nhấn</x:v>
      </x:c>
      <x:c r="B9" s="4" t="str">
        <x:v>Bước 6,5 mm chưa có bản vẽ</x:v>
      </x:c>
      <x:c r="C9" s="30" t="str">
        <x:v>IC3236 SMD 2 chân, thân 6,6×6,2×5 mm, pitch 6 mm</x:v>
      </x:c>
      <x:c r="D9" s="30" t="str">
        <x:v>Theo bản vẽ shop; có via trong land cho hàn tay.</x:v>
      </x:c>
    </x:row>
    <x:row r="10">
      <x:c r="A10" s="24" t="str">
        <x:v>Vi điều khiển</x:v>
      </x:c>
      <x:c r="B10" s="4" t="str">
        <x:v>SuperMini cắm đế cái</x:v>
      </x:c>
      <x:c r="C10" s="4" t="str">
        <x:v>SuperMini hàn cố định, khe mục tiêu 2,5–3mm</x:v>
      </x:c>
      <x:c r="D10" s="4" t="str">
        <x:v>Xác nhận linh kiện dưới module không chạm bo; giữ anten ở vùng khoét.</x:v>
      </x:c>
    </x:row>
    <x:row r="11">
      <x:c r="A11" s="24" t="str">
        <x:v>Kết nối module</x:v>
      </x:c>
      <x:c r="B11" s="4" t="str">
        <x:v>Đế cái 3.000đ/remote</x:v>
      </x:c>
      <x:c r="C11" s="4" t="str">
        <x:v>24 chân đực phân bổ 600đ/remote</x:v>
      </x:c>
      <x:c r="D11" s="4" t="str">
        <x:v>Một thanh 40 chân giá 1.000đ; mua tròn thanh trong Mua sam.</x:v>
      </x:c>
    </x:row>
    <x:row r="12" ht="55" customHeight="1">
      <x:c r="A12" s="24" t="str">
        <x:v>Nguồn</x:v>
      </x:c>
      <x:c r="B12" s="4" t="str">
        <x:v>Công tắc trong hộp pin</x:v>
      </x:c>
      <x:c r="C12" s="30" t="str">
        <x:v>2AA → SW15 → Q1 → J5 → boost USB → J6 → J4 USB-C</x:v>
      </x:c>
      <x:c r="D12" s="30" t="str">
        <x:v>B+ NC, không sạc AA. OFF cắt pin; USB máy tính vẫn cấp điện khi nạp.</x:v>
      </x:c>
    </x:row>
    <x:row r="13" ht="55" customHeight="1">
      <x:c r="A13" s="24" t="inlineStr">
        <x:is>
          <x:t xml:space="preserve">Chân VCC 3,3 V</x:t>
        </x:is>
      </x:c>
      <x:c r="B13" s="4" t="inlineStr">
        <x:is>
          <x:t xml:space="preserve">—</x:t>
        </x:is>
      </x:c>
      <x:c r="C13" s="30" t="str">
        <x:v>Theo sơ đồ phiên bản SuperMini dùng ME6217: P0.13 thấp tắt VCC. Không suy rộng cho mọi phiên bản board.</x:v>
      </x:c>
      <x:c r="D13" s="30" t="str">
        <x:v>Đo chân 4 của J3 khi P0.13 = 0 và = 1. Project không có TP3.</x:v>
      </x:c>
    </x:row>
    <x:row r="14">
      <x:c r="A14" s="24" t="inlineStr">
        <x:is>
          <x:t xml:space="preserve">Bàn phím</x:t>
        </x:is>
      </x:c>
      <x:c r="B14" s="4" t="inlineStr">
        <x:is>
          <x:t xml:space="preserve">13 phím nối thẳng 13 GPIO (chưa có OK)</x:t>
        </x:is>
      </x:c>
      <x:c r="C14" s="4" t="inlineStr">
        <x:is>
          <x:t xml:space="preserve">Ma trận 4 hàng × 4 cột (dùng 14/16 ô, gồm phím OK), 8 GPIO</x:t>
        </x:is>
      </x:c>
      <x:c r="D14" s="4" t="inlineStr">
        <x:is>
          <x:t xml:space="preserve">Board chỉ có 18 chân GPIO ở mép; đánh thức: kéo 4 hàng xuống thấp, 4 cột bật SENSE mức thấp.</x:t>
        </x:is>
      </x:c>
    </x:row>
    <x:row r="15" ht="55" customHeight="1">
      <x:c r="A15" s="24" t="inlineStr">
        <x:is>
          <x:t xml:space="preserve">Đèn đỏ/xanh</x:t>
        </x:is>
      </x:c>
      <x:c r="B15" s="4" t="inlineStr">
        <x:is>
          <x:t xml:space="preserve">2 GPIO</x:t>
        </x:is>
      </x:c>
      <x:c r="C15" s="30" t="str">
        <x:v>LED đỏ/xanh chung một GPIO: thấp đỏ, cao xanh, input tắt theo điện áp thực.</x:v>
      </x:c>
      <x:c r="D15" s="30" t="str">
        <x:v>D4 giảm dòng rò nhưng không bảo đảm triệt tiêu. Đo dòng ngủ và VF của LED trước khi chốt.</x:v>
      </x:c>
    </x:row>
    <x:row r="16">
      <x:c r="A16" s="24" t="str">
        <x:v>LED 7 đoạn</x:v>
      </x:c>
      <x:c r="B16" s="4" t="str">
        <x:v>Pinout FJ3261BH trong symbol sai so với 3261BS</x:v>
      </x:c>
      <x:c r="C16" s="4" t="str">
        <x:v>3261BS theo XLITX: G,DP,A,F,CA2,D,E,C,B,CA1 (1…10)</x:v>
      </x:c>
      <x:c r="D16" s="4" t="str">
        <x:v>Shop generic phải đo mẫu đúng pinout trước hàn.</x:v>
      </x:c>
    </x:row>
    <x:row r="17">
      <x:c r="A17" s="24" t="str">
        <x:v>Nạp firmware</x:v>
      </x:c>
      <x:c r="B17" s="4" t="str">
        <x:v>Rút module khỏi đế</x:v>
      </x:c>
      <x:c r="C17" s="4" t="str">
        <x:v>Rút dây USB-C cấp từ pin, cắm cáp PC vào SuperMini</x:v>
      </x:c>
      <x:c r="D17" s="4" t="str">
        <x:v>Để cổng USB-C tiếp cận được trong vỏ hoặc mở nắp để nạp.</x:v>
      </x:c>
    </x:row>
    <x:row r="19">
      <x:c r="A19" s="25" t="inlineStr">
        <x:is>
          <x:t xml:space="preserve">Gán chân đề xuất</x:t>
        </x:is>
      </x:c>
    </x:row>
    <x:row r="20" ht="32" customHeight="1">
      <x:c r="A20" s="3" t="inlineStr">
        <x:is>
          <x:t xml:space="preserve">Net</x:t>
        </x:is>
      </x:c>
      <x:c r="B20" s="3" t="inlineStr">
        <x:is>
          <x:t xml:space="preserve">Chân SuperMini nRF52840</x:t>
        </x:is>
      </x:c>
      <x:c r="C20" s="3" t="inlineStr">
        <x:is>
          <x:t xml:space="preserve">Ghi chú</x:t>
        </x:is>
      </x:c>
      <x:c r="D20" s="3" t="inlineStr">
        <x:is>
          <x:t xml:space="preserve"/>
        </x:is>
      </x:c>
    </x:row>
    <x:row r="21">
      <x:c r="A21" s="4" t="inlineStr">
        <x:is>
          <x:t xml:space="preserve">COL1 … COL4 (cột phím)</x:t>
        </x:is>
      </x:c>
      <x:c r="B21" s="4" t="inlineStr">
        <x:is>
          <x:t xml:space="preserve">P0.31, P0.29, P0.02, P1.15</x:t>
        </x:is>
      </x:c>
      <x:c r="C21" s="4" t="inlineStr">
        <x:is>
          <x:t xml:space="preserve">Chân phải D21, D20, D19, D18. Input pull-up + SENSE mức thấp để đánh thức</x:t>
        </x:is>
      </x:c>
    </x:row>
    <x:row r="22">
      <x:c r="A22" s="4" t="inlineStr">
        <x:is>
          <x:t xml:space="preserve">ROW1 … ROW4 (hàng phím)</x:t>
        </x:is>
      </x:c>
      <x:c r="B22" s="4" t="inlineStr">
        <x:is>
          <x:t xml:space="preserve">P1.13, P1.11, P0.10, P0.09</x:t>
        </x:is>
      </x:c>
      <x:c r="C22" s="4" t="inlineStr">
        <x:is>
          <x:t xml:space="preserve">Chân phải D15, D14, D16, D10. P0.09/P0.10 là chân NFC — bootloader SuperMini đã cấu hình thành GPIO, kiểm tra lại</x:t>
        </x:is>
      </x:c>
    </x:row>
    <x:row r="23">
      <x:c r="A23" s="4" t="inlineStr">
        <x:is>
          <x:t xml:space="preserve">SEG_A … SEG_G</x:t>
        </x:is>
      </x:c>
      <x:c r="B23" s="4" t="inlineStr">
        <x:is>
          <x:t xml:space="preserve">P0.06, P0.08, P0.17, P0.20, P0.22, P0.24, P1.00</x:t>
        </x:is>
      </x:c>
      <x:c r="C23" s="4" t="inlineStr">
        <x:is>
          <x:t xml:space="preserve">Chân trái D1, D0, D2, D3, D4, D5, D6</x:t>
        </x:is>
      </x:c>
    </x:row>
    <x:row r="24">
      <x:c r="A24" s="4" t="inlineStr">
        <x:is>
          <x:t xml:space="preserve">DIG1_EN / DIG2_EN</x:t>
        </x:is>
      </x:c>
      <x:c r="B24" s="4" t="inlineStr">
        <x:is>
          <x:t xml:space="preserve">P0.11 / P1.04</x:t>
        </x:is>
      </x:c>
      <x:c r="C24" s="4" t="inlineStr">
        <x:is>
          <x:t xml:space="preserve">Chân trái D7, D8 → cổng Q2/Q3</x:t>
        </x:is>
      </x:c>
    </x:row>
    <x:row r="25">
      <x:c r="A25" s="4" t="inlineStr">
        <x:is>
          <x:t xml:space="preserve">LED_RG</x:t>
        </x:is>
      </x:c>
      <x:c r="B25" s="4" t="inlineStr">
        <x:is>
          <x:t xml:space="preserve">P1.06</x:t>
        </x:is>
      </x:c>
      <x:c r="C25" s="4" t="inlineStr">
        <x:is>
          <x:t xml:space="preserve">Chân trái D9</x:t>
        </x:is>
      </x:c>
    </x:row>
    <x:row r="26">
      <x:c r="A26" s="4" t="inlineStr">
        <x:is>
          <x:t xml:space="preserve">Còn trống</x:t>
        </x:is>
      </x:c>
      <x:c r="B26" s="4" t="inlineStr">
        <x:is>
          <x:t xml:space="preserve">P1.01, P1.02, P1.07 (pad giữa)</x:t>
        </x:is>
      </x:c>
      <x:c r="C26" s="4" t="inlineStr">
        <x:is>
          <x:t xml:space="preserve">Không dùng để khỏi phải hàn dây vào pad</x:t>
        </x:is>
      </x:c>
    </x:row>
    <x:row r="27" ht="39" customHeight="1">
      <x:c r="A27" s="4" t="str">
        <x:v>Nguồn</x:v>
      </x:c>
      <x:c r="B27" s="4" t="str">
        <x:v>USB-C 5V vào, VCC ra, GND; B+ NC</x:v>
      </x:c>
      <x:c r="C27" s="30" t="str">
        <x:v>J5.1 AA+ đã bảo vệ, J5.2 GND; J6.1 +5V, J6.2 GND; J4.1 +5V, J4.2 GND.</x:v>
      </x:c>
      <x:c r="D27" t="str">
        <x:v>Không cấp AA vào chân sạc B+.</x:v>
      </x:c>
    </x:row>
    <x:row r="28">
      <x:c r="A28" s="4" t="str">
        <x:v>Chưa có firmware và kết quả đo dòng: thời gian thay pin trong Thong so là dự toán, không phải số đo.</x:v>
      </x:c>
      <x:c r="B28" s="4"/>
      <x:c r="C28" s="4"/>
    </x:row>
    <x:row r="29">
      <x:c r="A29" s="24" t="str">
        <x:v>SW15</x:v>
      </x:c>
      <x:c r="B29" s="4" t="str">
        <x:v>Pad2 COM = AA_RAW, pad3 = AA_SW</x:v>
      </x:c>
      <x:c r="C29" s="30" t="str">
        <x:v>Pad1/4/5 không nối điện; hai pad ngoài giữ cơ khí</x:v>
      </x:c>
      <x:c r="D29" s="30" t="str">
        <x:v>Đo COM và hướng gạt ON trước lắp. Khe vỏ cần đủ hành trình 3mm.</x:v>
      </x:c>
    </x:row>
  </x:sheetData>
  <x:mergeCells>
    <x:mergeCell ref="A28:D28"/>
  </x:mergeCells>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30" customWidth="1"/>
    <x:col min="2" max="2" width="34" customWidth="1"/>
    <x:col min="3" max="3" width="44" customWidth="1"/>
    <x:col min="4" max="4" width="50" customWidth="1"/>
  </x:cols>
  <x:sheetData>
    <x:row r="1">
      <x:c r="A1" s="1" t="inlineStr">
        <x:is>
          <x:t xml:space="preserve">Kiểm tra định mức linh kiện (có bị cháy / đủ dùng không)</x:t>
        </x:is>
      </x:c>
    </x:row>
    <x:row r="2" ht="30" customHeight="1">
      <x:c r="A2" s="29" t="str">
        <x:v>Rev J: các mục nguồn cập nhật theo schematic hiện tại. Chưa đo phần cứng; xem báo cáo ERC/DRC trong bộ KiCad.</x:v>
      </x:c>
    </x:row>
    <x:row r="4" ht="32" customHeight="1">
      <x:c r="A4" s="3" t="inlineStr">
        <x:is>
          <x:t xml:space="preserve">Linh kiện / mạch</x:t>
        </x:is>
      </x:c>
      <x:c r="B4" s="3" t="inlineStr">
        <x:is>
          <x:t xml:space="preserve">Định mức</x:t>
        </x:is>
      </x:c>
      <x:c r="C4" s="3" t="inlineStr">
        <x:is>
          <x:t xml:space="preserve">Thực tế trong mạch</x:t>
        </x:is>
      </x:c>
      <x:c r="D4" s="3" t="inlineStr">
        <x:is>
          <x:t xml:space="preserve">Kết luận</x:t>
        </x:is>
      </x:c>
    </x:row>
    <x:row r="5" ht="39" customHeight="1">
      <x:c r="A5" s="30" t="str">
        <x:v>SW15 SS-12F23G4</x:v>
      </x:c>
      <x:c r="B5" s="4" t="str">
        <x:v>Shop công bố 2A; chưa có datasheet hãng</x:v>
      </x:c>
      <x:c r="C5" s="30" t="str">
        <x:v>Ngắt BAT+ trước Q1 và boost</x:v>
      </x:c>
      <x:c r="D5" s="32" t="str">
        <x:v>Footprint theo bản vẽ shop; xác nhận mẫu và thử khởi động.</x:v>
      </x:c>
    </x:row>
    <x:row r="6" ht="39" customHeight="1">
      <x:c r="A6" s="30" t="str">
        <x:v>Q1 AO3401A chống ngược pin</x:v>
      </x:c>
      <x:c r="B6" s="30" t="str">
        <x:v>MOSFET P, SOT-23</x:v>
      </x:c>
      <x:c r="C6" s="30" t="str">
        <x:v>Drain vào pin+, source ra U1, gate về GND.</x:v>
      </x:c>
      <x:c r="D6" s="32" t="str">
        <x:v>Cách mắc phù hợp, cần thử bằng nguồn giới hạn dòng.</x:v>
      </x:c>
    </x:row>
    <x:row r="7" ht="39" customHeight="1">
      <x:c r="A7" s="4" t="str">
        <x:v>C1 22µF 16V</x:v>
      </x:c>
      <x:c r="B7" s="4" t="str">
        <x:v>16V</x:v>
      </x:c>
      <x:c r="C7" s="4" t="str">
        <x:v>Đầu vào 2AA, khoảng 3V danh định</x:v>
      </x:c>
      <x:c r="D7" s="32" t="str">
        <x:v>Kiểm tra mã tụ và hiệu dụng ở điện áp thật.</x:v>
      </x:c>
    </x:row>
    <x:row r="8" ht="39" customHeight="1">
      <x:c r="A8" s="4" t="inlineStr">
        <x:is>
          <x:t xml:space="preserve">R1–R7 470 Ω + LED 7 đoạn</x:t>
        </x:is>
      </x:c>
      <x:c r="B8" s="4" t="inlineStr">
        <x:is>
          <x:t xml:space="preserve">LED 25 mA/đoạn; điện trở 0,1 W</x:t>
        </x:is>
      </x:c>
      <x:c r="C8" s="30" t="str">
        <x:v>Isegment ≈ (VCC thực − VF − VOL)/470. Trang LED 7 đoạn ghi VF khoảng 2,2 V.</x:v>
      </x:c>
      <x:c r="D8" s="32" t="str">
        <x:v>Đo độ sáng với pin mới và pin yếu, không mặc định 2,5 mA.</x:v>
      </x:c>
    </x:row>
    <x:row r="9" ht="39" customHeight="1">
      <x:c r="A9" s="4" t="inlineStr">
        <x:is>
          <x:t xml:space="preserve">Q2, Q3 AO3401A</x:t>
        </x:is>
      </x:c>
      <x:c r="B9" s="4" t="inlineStr">
        <x:is>
          <x:t xml:space="preserve">−4 A, −30 V, Vgs ±12 V</x:t>
        </x:is>
      </x:c>
      <x:c r="C9" s="30" t="str">
        <x:v>7 đoạn × dòng mỗi đoạn. RDS(on) phụ thuộc VGS thực.</x:v>
      </x:c>
      <x:c r="D9" s="32" t="str">
        <x:v>Dòng tải nhỏ, cần kiểm tra đóng/tắt với mức GPIO thực.</x:v>
      </x:c>
    </x:row>
    <x:row r="10">
      <x:c r="A10" s="4" t="inlineStr">
        <x:is>
          <x:t xml:space="preserve">R10, R11 100 kΩ</x:t>
        </x:is>
      </x:c>
      <x:c r="B10" s="4" t="inlineStr">
        <x:is>
          <x:t xml:space="preserve">0,1 W</x:t>
        </x:is>
      </x:c>
      <x:c r="C10" s="4" t="inlineStr">
        <x:is>
          <x:t xml:space="preserve">33 µA khi digit bật</x:t>
        </x:is>
      </x:c>
      <x:c r="D10" s="26" t="inlineStr">
        <x:is>
          <x:t xml:space="preserve">Đạt</x:t>
        </x:is>
      </x:c>
    </x:row>
    <x:row r="11" ht="39" customHeight="1">
      <x:c r="A11" s="30" t="str">
        <x:v>D1 đỏ, D2 xanh 0603 (shop không xác nhận mã hãng)</x:v>
      </x:c>
      <x:c r="B11" s="4" t="inlineStr">
        <x:is>
          <x:t xml:space="preserve">20 mA</x:t>
        </x:is>
      </x:c>
      <x:c r="C11" s="30" t="str">
        <x:v>Dòng phụ thuộc VDD GPIO, VF LED và D4.</x:v>
      </x:c>
      <x:c r="D11" s="32" t="str">
        <x:v>Đo VF, độ sáng, dòng ngủ và tắt/mở VCC.</x:v>
      </x:c>
    </x:row>
    <x:row r="12">
      <x:c r="A12" s="4" t="inlineStr">
        <x:is>
          <x:t xml:space="preserve">D4 1N4148WS</x:t>
        </x:is>
      </x:c>
      <x:c r="B12" s="4" t="inlineStr">
        <x:is>
          <x:t xml:space="preserve">150 mA, 75 V, 200 mW</x:t>
        </x:is>
      </x:c>
      <x:c r="C12" s="4" t="inlineStr">
        <x:is>
          <x:t xml:space="preserve">≈ 2–3 mA</x:t>
        </x:is>
      </x:c>
      <x:c r="D12" s="26" t="inlineStr">
        <x:is>
          <x:t xml:space="preserve">Đạt</x:t>
        </x:is>
      </x:c>
    </x:row>
    <x:row r="13" ht="39" customHeight="1">
      <x:c r="A13" s="30" t="str">
        <x:v>SW1–SW14 nút 2 chân 6×6×5</x:v>
      </x:c>
      <x:c r="B13" s="30" t="str">
        <x:v>Shop không có datasheet định mức</x:v>
      </x:c>
      <x:c r="C13" s="4" t="inlineStr">
        <x:is>
          <x:t xml:space="preserve">µA</x:t>
        </x:is>
      </x:c>
      <x:c r="D13" s="32" t="str">
        <x:v>Điện áp bàn phím thấp, cần xác nhận kích thước và thao tác nhấn.</x:v>
      </x:c>
    </x:row>
    <x:row r="14">
      <x:c r="A14" s="4" t="str">
        <x:v>Chân hàn J2/J3</x:v>
      </x:c>
      <x:c r="B14" s="4" t="str">
        <x:v>Header đực 2,54mm</x:v>
      </x:c>
      <x:c r="C14" s="4" t="str">
        <x:v>Hàn cố định, khe 2,5–3mm mục tiêu</x:v>
      </x:c>
      <x:c r="D14" s="26" t="str">
        <x:v>Kiểm tra chiều cao mặt dưới module trước hàn.</x:v>
      </x:c>
    </x:row>
    <x:row r="15" ht="39" customHeight="1">
      <x:c r="A15" s="4" t="inlineStr">
        <x:is>
          <x:t xml:space="preserve">Mạch đèn đỏ/xanh 1 chân (bản cũ)</x:t>
        </x:is>
      </x:c>
      <x:c r="B15" s="4" t="inlineStr">
        <x:is>
          <x:t xml:space="preserve">—</x:t>
        </x:is>
      </x:c>
      <x:c r="C15" s="4" t="inlineStr">
        <x:is>
          <x:t xml:space="preserve">Thả nổi vẫn rò 15–58 µA → đèn le lói + tốn pin khi ngủ</x:t>
        </x:is>
      </x:c>
      <x:c r="D15" s="33" t="str">
        <x:v>D4 giảm dòng rò, chưa chứng minh triệt tiêu; cần đo trạng thái input.</x:v>
      </x:c>
    </x:row>
    <x:row r="16">
      <x:c r="A16" s="4" t="inlineStr">
        <x:is>
          <x:t xml:space="preserve">Bàn phím ma trận (nRF, ESP32)</x:t>
        </x:is>
      </x:c>
      <x:c r="B16" s="4" t="inlineStr">
        <x:is>
          <x:t xml:space="preserve">—</x:t>
        </x:is>
      </x:c>
      <x:c r="C16" s="4" t="inlineStr">
        <x:is>
          <x:t xml:space="preserve">Nếu firmware kéo hàng không chọn lên mức cao, bấm 2 phím cùng cột sẽ chập 2 GPIO</x:t>
        </x:is>
      </x:c>
      <x:c r="D16" s="27" t="inlineStr">
        <x:is>
          <x:t xml:space="preserve">Quy tắc firmware: hàng không chọn để INPUT (đã ghi trên sơ đồ)</x:t>
        </x:is>
      </x:c>
    </x:row>
    <x:row r="17" ht="55" customHeight="1">
      <x:c r="A17" s="4" t="str">
        <x:v>SuperMini B+</x:v>
      </x:c>
      <x:c r="B17" s="4" t="str">
        <x:v>Chân pin/mạch sạc trên module</x:v>
      </x:c>
      <x:c r="C17" s="30" t="str">
        <x:v>NC trên PCB; không nối AA vào B+</x:v>
      </x:c>
      <x:c r="D17" s="32" t="str">
        <x:v>Cấp qua USB-C 5V từ J4.</x:v>
      </x:c>
    </x:row>
    <x:row r="18" ht="55" customHeight="1">
      <x:c r="A18" s="4" t="str">
        <x:v>U1 module USB ngoài bo</x:v>
      </x:c>
      <x:c r="B18" s="4" t="str">
        <x:v>Shop: VIN 0,9–5V, VOUT 5V; quảng cáo tối đa 600mA</x:v>
      </x:c>
      <x:c r="C18" s="30" t="str">
        <x:v>Hai AA qua SW15/Q1/J5; output USB-A vào J6</x:v>
      </x:c>
      <x:c r="D18" s="32" t="str">
        <x:v>Không bảo đảm 600mA tại pin yếu. Đo khởi động, ripple, dòng đầu pin và nhiệt với tải thật.</x:v>
      </x:c>
    </x:row>
    <x:row r="19" ht="39" customHeight="1">
      <x:c r="A19" s="30" t="str">
        <x:v>C1/C5; C3/C4 đã bỏ</x:v>
      </x:c>
      <x:c r="B19" s="30" t="str">
        <x:v>C1 22µF 16V; C5 10µF 25V</x:v>
      </x:c>
      <x:c r="C19" s="30" t="str">
        <x:v>C1 lọc đầu vào; C5 lọc VCC logic</x:v>
      </x:c>
      <x:c r="D19" s="26" t="str">
        <x:v>Tụ output có trên module nguồn/SuperMini. Không còn khối TPS61099.</x:v>
      </x:c>
    </x:row>
    <x:row r="20">
      <x:c r="A20" s="4" t="str">
        <x:v>Q1 AO3401A</x:v>
      </x:c>
      <x:c r="B20" s="4" t="str">
        <x:v>P-MOSFET −30V, VGS ±12V</x:v>
      </x:c>
      <x:c r="C20" s="4" t="str">
        <x:v>D=AA_SW; S=VIN_AA; G=GND</x:v>
      </x:c>
      <x:c r="D20" s="26" t="str">
        <x:v>RDS(on) tại VGS pin yếu chưa bảo đảm; cần đo.</x:v>
      </x:c>
    </x:row>
    <x:row r="21" ht="39" customHeight="1">
      <x:c r="A21" s="4" t="inlineStr">
        <x:is>
          <x:t xml:space="preserve">R17, R18 1 kΩ (cực cổng Q2, Q3)</x:t>
        </x:is>
      </x:c>
      <x:c r="B21" s="4" t="inlineStr">
        <x:is>
          <x:t xml:space="preserve">0,1 W</x:t>
        </x:is>
      </x:c>
      <x:c r="C21" s="4" t="inlineStr">
        <x:is>
          <x:t xml:space="preserve">Xung nạp cổng ≤ 3 mA, gần như 0 W</x:t>
        </x:is>
      </x:c>
      <x:c r="D21" s="32" t="str">
        <x:v>Gate thấp qua 1K và pull-up 100K. Đo VGS thực để kiểm tra tắt/mở.</x:v>
      </x:c>
    </x:row>
    <x:row r="22" ht="39" customHeight="1">
      <x:c r="A22" s="4" t="inlineStr">
        <x:is>
          <x:t xml:space="preserve">R13–R16 1 kΩ (hàng phím)</x:t>
        </x:is>
      </x:c>
      <x:c r="B22" s="4" t="inlineStr">
        <x:is>
          <x:t xml:space="preserve">0,1 W</x:t>
        </x:is>
      </x:c>
      <x:c r="C22" s="30" t="str">
        <x:v>Hai GPIO bị nối qua hai điện trở 1K: I ≈ ΔV/2K, trừ điện trở ngõ ra.</x:v>
      </x:c>
      <x:c r="D22" s="32" t="str">
        <x:v>Giảm dòng tranh chấp, không thay cho firmware để hàng không chọn về input.</x:v>
      </x:c>
    </x:row>
    <x:row r="23" ht="39" customHeight="1">
      <x:c r="A23" s="4" t="str">
        <x:v>Đấu pin và USB</x:v>
      </x:c>
      <x:c r="B23" s="4" t="str">
        <x:v>Một cổng USB-C trên SuperMini</x:v>
      </x:c>
      <x:c r="C23" s="4" t="str">
        <x:v>Rút dây J4 trước khi cắm PC; B+ NC</x:v>
      </x:c>
      <x:c r="D23" s="32" t="str">
        <x:v>Không nối song song trực tiếp hai nguồn 5V.</x:v>
      </x:c>
    </x:row>
    <x:row r="24" ht="39" customHeight="1">
      <x:c r="A24" s="4" t="inlineStr">
        <x:is>
          <x:t xml:space="preserve">SuperMini — chân VCC</x:t>
        </x:is>
      </x:c>
      <x:c r="B24" s="4" t="inlineStr">
        <x:is>
          <x:t xml:space="preserve">LDO ME6217 trên board (từ VDDH), EN = P0.13</x:t>
        </x:is>
      </x:c>
      <x:c r="C24" s="30" t="str">
        <x:v>REG0 của nRF52840 cần VDDH cao hơn VDD ít nhất 0,3 V.</x:v>
      </x:c>
      <x:c r="D24" s="32" t="str">
        <x:v>Đo VDD, xác nhận UICR.REGOUT0 trước khi chốt GPIO 3,3 V.</x:v>
      </x:c>
    </x:row>
    <x:row r="25">
      <x:c r="A25" s="4" t="inlineStr">
        <x:is>
          <x:t xml:space="preserve">GPIO nRF52840 (SEG_x, LED_RG)</x:t>
        </x:is>
      </x:c>
      <x:c r="B25" s="4" t="inlineStr">
        <x:is>
          <x:t xml:space="preserve">Standard drive ~2 mA; high drive ~10 mA</x:t>
        </x:is>
      </x:c>
      <x:c r="C25" s="4" t="inlineStr">
        <x:is>
          <x:t xml:space="preserve">≈ 1,4–1,7 mA/chân, tổng ≈ 12 mA</x:t>
        </x:is>
      </x:c>
      <x:c r="D25" s="26" t="inlineStr">
        <x:is>
          <x:t xml:space="preserve">Đạt; cấu hình high drive (H0H1) cho SEG_x và LED_RG để giữ mức thấp sát 0 V</x:t>
        </x:is>
      </x:c>
    </x:row>
    <x:row r="26">
      <x:c r="A26" s="4" t="inlineStr">
        <x:is>
          <x:t xml:space="preserve">Khi ngủ</x:t>
        </x:is>
      </x:c>
      <x:c r="B26" s="4" t="inlineStr">
        <x:is>
          <x:t xml:space="preserve">—</x:t>
        </x:is>
      </x:c>
      <x:c r="C26" s="4" t="inlineStr">
        <x:is>
          <x:t xml:space="preserve">+3V3 tắt (P0.13) nhưng GPIO còn 3,3 V có thể cấp ngược qua R10/R11/LED</x:t>
        </x:is>
      </x:c>
      <x:c r="D26" s="27" t="inlineStr">
        <x:is>
          <x:t xml:space="preserve">Quy tắc firmware: đặt SEG_x, DIGx_EN, LED_RG thành input trước khi ngủ</x:t>
        </x:is>
      </x:c>
    </x:row>
    <x:row r="28" ht="45" customHeight="1">
      <x:c r="A28" s="31" t="str">
        <x:v>Nguồn module USB: https://icdayroi.com/mach-nguon-tang-ap-dc-0-9-5v-sang-5v-usb; chưa có datasheet hãng, IQ, đồ thị hiệu suất hoặc chiều cao xác nhận.</x:v>
      </x:c>
      <x:c r="B28" s="31"/>
      <x:c r="C28" s="31"/>
      <x:c r="D28" s="31"/>
    </x:row>
  </x:sheetData>
  <x:mergeCells>
    <x:mergeCell ref="A28:D28"/>
  </x:mergeCells>
  <x:pageMargins left="0.7" right="0.7" top="0.75" bottom="0.75" header="0.3" footer="0.3"/>
</x:worksheet>
</file>