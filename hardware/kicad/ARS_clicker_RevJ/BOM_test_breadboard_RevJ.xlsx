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00b4e7c18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h kien test" sheetId="1" r:id="R9d67190634b442ea"/>
    <x:sheet xmlns:r="http://schemas.openxmlformats.org/officeDocument/2006/relationships" name="Dau noi va gioi han" sheetId="2" r:id="R7fbd0df5a6f4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5"/>
      <x:name val="Carlito"/>
    </x:font>
    <x:font>
      <x:b/>
      <x:sz val="15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EF5"/>
      </x:patternFill>
    </x:fill>
    <x:fill>
      <x:patternFill patternType="solid">
        <x:fgColor rgb="FF24476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0" fontId="0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2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352998ae64c32" /><Relationship Type="http://schemas.openxmlformats.org/officeDocument/2006/relationships/theme" Target="/xl/theme/theme1.xml" Id="Rfe9cf67408704e2f" /><Relationship Type="http://schemas.openxmlformats.org/officeDocument/2006/relationships/sharedStrings" Target="/xl/sharedStrings.xml" Id="Rde621ac10fa5401e" /><Relationship Type="http://schemas.openxmlformats.org/officeDocument/2006/relationships/worksheet" Target="/xl/worksheets/sheet1.xml" Id="R9d67190634b442ea" /><Relationship Type="http://schemas.openxmlformats.org/officeDocument/2006/relationships/worksheet" Target="/xl/worksheets/sheet2.xml" Id="R7fbd0df5a6f444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9" hidden="0" customWidth="1"/>
    <x:col min="4" max="4" width="11" hidden="0" customWidth="1"/>
    <x:col min="5" max="5" width="14" hidden="0" customWidth="1"/>
    <x:col min="6" max="6" width="9" hidden="0" customWidth="1"/>
    <x:col min="7" max="7" width="15" hidden="0" customWidth="1"/>
    <x:col min="8" max="8" width="43" hidden="0" customWidth="1"/>
    <x:col min="9" max="9" width="68" hidden="0" customWidth="1"/>
  </x:cols>
  <x:sheetData>
    <x:row r="2">
      <x:c r="A2" s="25" t="str">
        <x:v>BOM thử breadboard cho clicker Rev J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6" t="str">
        <x:v>Bộ thử USB; bộ nguồn AA bên dưới dùng cùng module boost USB với PCB Rev J. Q1 cần AO3401A trên adapter hoặc PCB thử.</x:v>
      </x:c>
      <x:c r="B3" s="26"/>
      <x:c r="C3" s="26"/>
      <x:c r="D3" s="26"/>
      <x:c r="E3" s="26"/>
      <x:c r="F3" s="26"/>
      <x:c r="G3" s="26"/>
      <x:c r="H3" s="26"/>
      <x:c r="I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</x:row>
    <x:row r="5" ht="34" customHeight="1">
      <x:c r="A5" s="35" t="str">
        <x:v>Vị trí</x:v>
      </x:c>
      <x:c r="B5" s="35" t="str">
        <x:v>Linh kiện chân cắm</x:v>
      </x:c>
      <x:c r="C5" s="35" t="str">
        <x:v>SL dùng</x:v>
      </x:c>
      <x:c r="D5" s="35" t="str">
        <x:v>SL/gói mua</x:v>
      </x:c>
      <x:c r="E5" s="35" t="str">
        <x:v>Giá/gói (đ)</x:v>
      </x:c>
      <x:c r="F5" s="35" t="str">
        <x:v>Số gói</x:v>
      </x:c>
      <x:c r="G5" s="35" t="str">
        <x:v>Tiền mua (đ)</x:v>
      </x:c>
      <x:c r="H5" s="35" t="str">
        <x:v>Link mua</x:v>
      </x:c>
      <x:c r="I5" s="35" t="str">
        <x:v>Lưu ý thay thế</x:v>
      </x:c>
    </x:row>
    <x:row r="6" ht="76" customHeight="1">
      <x:c r="A6" s="27" t="str">
        <x:v>MCU</x:v>
      </x:c>
      <x:c r="B6" s="27" t="str">
        <x:v>SuperMini nRF52840 đang dùng</x:v>
      </x:c>
      <x:c r="C6" s="27" t="n">
        <x:v>1</x:v>
      </x:c>
      <x:c r="D6" s="27" t="n">
        <x:v>1</x:v>
      </x:c>
      <x:c r="E6" s="28" t="n">
        <x:v>150000</x:v>
      </x:c>
      <x:c r="F6" s="29" t="n">
        <x:f>ROUNDUP(C6/D6,0)</x:f>
        <x:v>1</x:v>
      </x:c>
      <x:c r="G6" s="29" t="n">
        <x:f>IF(E6="","",E6*F6)</x:f>
        <x:v>150000</x:v>
      </x:c>
      <x:c r="H6" s="27" t="str">
        <x:v>https://icdayroi.com/kit-phat-trien-promicro-nrf52840</x:v>
      </x:c>
      <x:c r="I6" s="27" t="str">
        <x:v>Giữ đúng module. Giá kế hoạch từ BOM RevH, chưa cập nhật lại; đã có thì sửa giá về 0. Hàn hàng rào đực 2,54 mm.</x:v>
      </x:c>
    </x:row>
    <x:row r="7" ht="76" customHeight="1">
      <x:c r="A7" s="27" t="str">
        <x:v>DS1</x:v>
      </x:c>
      <x:c r="B7" s="27" t="str">
        <x:v>LED đôi 3261BS anode chung, chân cắm</x:v>
      </x:c>
      <x:c r="C7" s="27" t="n">
        <x:v>1</x:v>
      </x:c>
      <x:c r="D7" s="27" t="n">
        <x:v>1</x:v>
      </x:c>
      <x:c r="E7" s="28" t="n">
        <x:v>5000</x:v>
      </x:c>
      <x:c r="F7" s="29" t="n">
        <x:f>ROUNDUP(C7/D7,0)</x:f>
        <x:v>1</x:v>
      </x:c>
      <x:c r="G7" s="29" t="n">
        <x:f>IF(E7="","",E7*F7)</x:f>
        <x:v>5000</x:v>
      </x:c>
      <x:c r="H7" s="27" t="str">
        <x:v>https://icdayroi.com/led-7-doan-2-so-0-36inch-anode-chung</x:v>
      </x:c>
      <x:c r="I7" s="27" t="str">
        <x:v>Giữ LED của RevH. Giá từ BOM. Shop generic: đo pinout mẫu theo bảng ở sheet đấu nối.</x:v>
      </x:c>
    </x:row>
    <x:row r="8" ht="76" customHeight="1">
      <x:c r="A8" s="27" t="str">
        <x:v>SW1–SW14</x:v>
      </x:c>
      <x:c r="B8" s="27" t="str">
        <x:v>Nút Nhấn 6X6X5MM 2 Chân Cắm (gói 10 cái)</x:v>
      </x:c>
      <x:c r="C8" s="27" t="n">
        <x:v>14</x:v>
      </x:c>
      <x:c r="D8" s="27" t="n">
        <x:v>10</x:v>
      </x:c>
      <x:c r="E8" s="28" t="n">
        <x:v>5000</x:v>
      </x:c>
      <x:c r="F8" s="29" t="n">
        <x:f>ROUNDUP(C8/D8,0)</x:f>
        <x:v>2</x:v>
      </x:c>
      <x:c r="G8" s="29" t="n">
        <x:f>IF(E8="","",E8*F8)</x:f>
        <x:v>10000</x:v>
      </x:c>
      <x:c r="H8" s="27" t="str">
        <x:v>https://icdayroi.com/nu-nhan-6x6x5mm-2-chan-cam</x:v>
      </x:c>
      <x:c r="I8" s="27" t="str">
        <x:v>Nút hai chân NHẤN NHẢ. Chưa có bản vẽ bước chân của mẫu này: kiểm tra vừa lỗ 2,54 mm; nếu không, hàn dây ngắn/bo lỗ với header. Không ép chân vào breadboard.</x:v>
      </x:c>
    </x:row>
    <x:row r="9" ht="76" customHeight="1">
      <x:c r="A9" s="27" t="str">
        <x:v>R1–R8</x:v>
      </x:c>
      <x:c r="B9" s="27" t="str">
        <x:v>Điện trở 470R 1/4W 1% (gói 100 con)</x:v>
      </x:c>
      <x:c r="C9" s="27" t="n">
        <x:v>8</x:v>
      </x:c>
      <x:c r="D9" s="27" t="n">
        <x:v>100</x:v>
      </x:c>
      <x:c r="E9" s="28" t="n">
        <x:v>7000</x:v>
      </x:c>
      <x:c r="F9" s="29" t="n">
        <x:f>ROUNDUP(C9/D9,0)</x:f>
        <x:v>1</x:v>
      </x:c>
      <x:c r="G9" s="29" t="n">
        <x:f>IF(E9="","",E9*F9)</x:f>
        <x:v>7000</x:v>
      </x:c>
      <x:c r="H9" s="27" t="str">
        <x:v>https://icdayroi.com/dien-tro-470-ohm-1-4w-1-goi-50-con</x:v>
      </x:c>
      <x:c r="I9" s="27" t="str">
        <x:v>470Ω 1/4W 1%, cùng giá trị điện. Mỗi đoạn LED có một điện trở riêng. Có thể dùng thêm một con 470Ω cho R9 lúc thử ban đầu.</x:v>
      </x:c>
    </x:row>
    <x:row r="10" ht="76" customHeight="1">
      <x:c r="A10" s="27" t="str">
        <x:v>R13–R18</x:v>
      </x:c>
      <x:c r="B10" s="27" t="str">
        <x:v>Điện trở 1K 1/4W 1% (gói 100 con)</x:v>
      </x:c>
      <x:c r="C10" s="27" t="n">
        <x:v>6</x:v>
      </x:c>
      <x:c r="D10" s="27" t="n">
        <x:v>100</x:v>
      </x:c>
      <x:c r="E10" s="28" t="n">
        <x:v>7000</x:v>
      </x:c>
      <x:c r="F10" s="29" t="n">
        <x:f>ROUNDUP(C10/D10,0)</x:f>
        <x:v>1</x:v>
      </x:c>
      <x:c r="G10" s="29" t="n">
        <x:f>IF(E10="","",E10*F10)</x:f>
        <x:v>7000</x:v>
      </x:c>
      <x:c r="H10" s="27" t="str">
        <x:v>https://icdayroi.com/dien-tro-1k-1-4w-1-goi-50-con</x:v>
      </x:c>
      <x:c r="I10" s="27" t="str">
        <x:v>1kΩ 1/4W 1%. R17/R18 nối GPIO tới BASE 2N3906, không nối trực tiếp.</x:v>
      </x:c>
    </x:row>
    <x:row r="11" ht="76" customHeight="1">
      <x:c r="A11" s="27" t="str">
        <x:v>R10,R11</x:v>
      </x:c>
      <x:c r="B11" s="27" t="str">
        <x:v>Điện trở 100K 1/4W 1% (gói 100 con)</x:v>
      </x:c>
      <x:c r="C11" s="27" t="n">
        <x:v>2</x:v>
      </x:c>
      <x:c r="D11" s="27" t="n">
        <x:v>100</x:v>
      </x:c>
      <x:c r="E11" s="28" t="n">
        <x:v>7000</x:v>
      </x:c>
      <x:c r="F11" s="29" t="n">
        <x:f>ROUNDUP(C11/D11,0)</x:f>
        <x:v>1</x:v>
      </x:c>
      <x:c r="G11" s="29" t="n">
        <x:f>IF(E11="","",E11*F11)</x:f>
        <x:v>7000</x:v>
      </x:c>
      <x:c r="H11" s="27" t="str">
        <x:v>https://icdayroi.com/dien-tro-100k-1-4w-1-goi-50-con</x:v>
      </x:c>
      <x:c r="I11" s="27" t="str">
        <x:v>100kΩ kéo BASE lên EMITTER/VCC cho mỗi digit.</x:v>
      </x:c>
    </x:row>
    <x:row r="12" ht="76" customHeight="1">
      <x:c r="A12" s="27" t="str">
        <x:v>R9</x:v>
      </x:c>
      <x:c r="B12" s="27" t="str">
        <x:v>Điện trở 100R 1/4W 1% (gói 100 con)</x:v>
      </x:c>
      <x:c r="C12" s="27" t="n">
        <x:v>1</x:v>
      </x:c>
      <x:c r="D12" s="27" t="n">
        <x:v>100</x:v>
      </x:c>
      <x:c r="E12" s="28" t="n">
        <x:v>7000</x:v>
      </x:c>
      <x:c r="F12" s="29" t="n">
        <x:f>ROUNDUP(C12/D12,0)</x:f>
        <x:v>1</x:v>
      </x:c>
      <x:c r="G12" s="29" t="n">
        <x:f>IF(E12="","",E12*F12)</x:f>
        <x:v>7000</x:v>
      </x:c>
      <x:c r="H12" s="27" t="str">
        <x:v>https://icdayroi.com/dien-tro-100-ohm-1-4w-1-goi-50-con</x:v>
      </x:c>
      <x:c r="I12" s="27" t="str">
        <x:v>100Ω như RevH. Khi chưa biết VF/dòng GPIO, thử R9=470Ω trước rồi đo; đổi lại 100Ω sau khi xác nhận dòng phù hợp.</x:v>
      </x:c>
    </x:row>
    <x:row r="13" ht="76" customHeight="1">
      <x:c r="A13" s="27" t="str">
        <x:v>Q2,Q3</x:v>
      </x:c>
      <x:c r="B13" s="27" t="str">
        <x:v>2N3906 TRANSISTOR PNP GP 200MA 40V TO92 (gói 10 con)</x:v>
      </x:c>
      <x:c r="C13" s="27" t="n">
        <x:v>2</x:v>
      </x:c>
      <x:c r="D13" s="27" t="n">
        <x:v>10</x:v>
      </x:c>
      <x:c r="E13" s="28" t="n">
        <x:v>3000</x:v>
      </x:c>
      <x:c r="F13" s="29" t="n">
        <x:f>ROUNDUP(C13/D13,0)</x:f>
        <x:v>1</x:v>
      </x:c>
      <x:c r="G13" s="29" t="n">
        <x:f>IF(E13="","",E13*F13)</x:f>
        <x:v>3000</x:v>
      </x:c>
      <x:c r="H13" s="27" t="str">
        <x:v>https://icdayroi.com/2n3906</x:v>
      </x:c>
      <x:c r="I13" s="27" t="str">
        <x:v>2N3906 TO-92 thay chức năng chọn digit. Cần đấu E/B/C khác G/S/D. Không thay trực tiếp chân, không dùng kết quả dòng pin thay cho AO3401A.</x:v>
      </x:c>
    </x:row>
    <x:row r="14" ht="76" customHeight="1">
      <x:c r="A14" s="27" t="str">
        <x:v>C2 + tụ bypass thêm</x:v>
      </x:c>
      <x:c r="B14" s="27" t="str">
        <x:v>Tụ gốm 100nF50V (gói 10 con)</x:v>
      </x:c>
      <x:c r="C14" s="27" t="n">
        <x:v>2</x:v>
      </x:c>
      <x:c r="D14" s="27" t="n">
        <x:v>10</x:v>
      </x:c>
      <x:c r="E14" s="28" t="n">
        <x:v>1000</x:v>
      </x:c>
      <x:c r="F14" s="29" t="n">
        <x:f>ROUNDUP(C14/D14,0)</x:f>
        <x:v>1</x:v>
      </x:c>
      <x:c r="G14" s="29" t="n">
        <x:f>IF(E14="","",E14*F14)</x:f>
        <x:v>1000</x:v>
      </x:c>
      <x:c r="H14" s="27" t="str">
        <x:v>https://icdayroi.com/tu-gom-100nf50v-goi-10-con</x:v>
      </x:c>
      <x:c r="I14" s="27" t="str">
        <x:v>100nF gốm chân cắm. Một con C2, một con thêm gần VCC/GND module. Không có cực.</x:v>
      </x:c>
    </x:row>
    <x:row r="15" ht="76" customHeight="1">
      <x:c r="A15" s="27" t="str">
        <x:v>C5</x:v>
      </x:c>
      <x:c r="B15" s="27" t="str">
        <x:v>Tụ hóa 10uF 25V 4x7mm Xuyên Lỗ</x:v>
      </x:c>
      <x:c r="C15" s="27" t="n">
        <x:v>1</x:v>
      </x:c>
      <x:c r="D15" s="27" t="n">
        <x:v>20</x:v>
      </x:c>
      <x:c r="E15" s="28" t="n">
        <x:v>10260</x:v>
      </x:c>
      <x:c r="F15" s="29" t="n">
        <x:f>ROUNDUP(C15/D15,0)</x:f>
        <x:v>1</x:v>
      </x:c>
      <x:c r="G15" s="29" t="n">
        <x:f>IF(E15="","",E15*F15)</x:f>
        <x:v>10260</x:v>
      </x:c>
      <x:c r="H15" s="27" t="str">
        <x:v>https://www.thegioiic.com/tu-hoa-10uf-25v-4x7mm-xuyen-lo</x:v>
      </x:c>
      <x:c r="I15" s="27" t="str">
        <x:v>10µF có cực: + vào VCC, − GND. Giá đơn vị 513đ, tối thiểu 20 con và bội 10: giá gói tối thiểu ở cột E.</x:v>
      </x:c>
    </x:row>
    <x:row r="16" ht="76" customHeight="1">
      <x:c r="A16" s="27" t="str">
        <x:v>D1</x:v>
      </x:c>
      <x:c r="B16" s="27" t="str">
        <x:v>Led đục màu đỏ 3MM (gói 10 con)</x:v>
      </x:c>
      <x:c r="C16" s="27" t="n">
        <x:v>1</x:v>
      </x:c>
      <x:c r="D16" s="27" t="n">
        <x:v>10</x:v>
      </x:c>
      <x:c r="E16" s="28" t="n">
        <x:v>2500</x:v>
      </x:c>
      <x:c r="F16" s="29" t="n">
        <x:f>ROUNDUP(C16/D16,0)</x:f>
        <x:v>1</x:v>
      </x:c>
      <x:c r="G16" s="29" t="n">
        <x:f>IF(E16="","",E16*F16)</x:f>
        <x:v>2500</x:v>
      </x:c>
      <x:c r="H16" s="27" t="str">
        <x:v>https://icdayroi.com/led-duc-mau-do-3mm-goi-10-con</x:v>
      </x:c>
      <x:c r="I16" s="27" t="str">
        <x:v>LED đỏ chân cắm 3mm. Đo VF; cực A/K giống chức năng D1, không suy ra cực từ hình nhìn chung.</x:v>
      </x:c>
    </x:row>
    <x:row r="17" ht="76" customHeight="1">
      <x:c r="A17" s="27" t="str">
        <x:v>D2</x:v>
      </x:c>
      <x:c r="B17" s="27" t="str">
        <x:v>Led đục màu xanh lá 3MM (gói 10 con)</x:v>
      </x:c>
      <x:c r="C17" s="27" t="n">
        <x:v>1</x:v>
      </x:c>
      <x:c r="D17" s="27" t="n">
        <x:v>10</x:v>
      </x:c>
      <x:c r="E17" s="28" t="n">
        <x:v>2500</x:v>
      </x:c>
      <x:c r="F17" s="29" t="n">
        <x:f>ROUNDUP(C17/D17,0)</x:f>
        <x:v>1</x:v>
      </x:c>
      <x:c r="G17" s="29" t="n">
        <x:f>IF(E17="","",E17*F17)</x:f>
        <x:v>2500</x:v>
      </x:c>
      <x:c r="H17" s="27" t="str">
        <x:v>https://icdayroi.com/led-duc-mau-xanh-la-3mm-goi-10-con</x:v>
      </x:c>
      <x:c r="I17" s="27" t="str">
        <x:v>LED xanh lá 3mm. Shop không có mã/VF: giữ nhánh một GPIO chỉ nếu VF đủ thấp. Nếu không, chọn LED xanh vàng VF thấp hoặc tạm thử nhánh đỏ trước.</x:v>
      </x:c>
    </x:row>
    <x:row r="18" ht="76" customHeight="1">
      <x:c r="A18" s="27" t="str">
        <x:v>D4</x:v>
      </x:c>
      <x:c r="B18" s="27" t="str">
        <x:v>Diode 1N4148 450mA 100V DO-35 (gói 10 con)</x:v>
      </x:c>
      <x:c r="C18" s="27" t="n">
        <x:v>1</x:v>
      </x:c>
      <x:c r="D18" s="27" t="n">
        <x:v>10</x:v>
      </x:c>
      <x:c r="E18" s="28" t="n">
        <x:v>1500</x:v>
      </x:c>
      <x:c r="F18" s="29" t="n">
        <x:f>ROUNDUP(C18/D18,0)</x:f>
        <x:v>1</x:v>
      </x:c>
      <x:c r="G18" s="29" t="n">
        <x:f>IF(E18="","",E18*F18)</x:f>
        <x:v>1500</x:v>
      </x:c>
      <x:c r="H18" s="27" t="str">
        <x:v>https://icdayroi.com/1n4148-dip</x:v>
      </x:c>
      <x:c r="I18" s="27" t="str">
        <x:v>1N4148 DO-35 thay chức năng diode tín hiệu 1N4148WS. Vạch trên thân là cathode K.</x:v>
      </x:c>
    </x:row>
    <x:row r="19" ht="76" customHeight="1">
      <x:c r="A19" s="27" t="str">
        <x:v>Dụng cụ</x:v>
      </x:c>
      <x:c r="B19" s="27" t="str">
        <x:v>Đế test board, bread board MB-102 loại tốt</x:v>
      </x:c>
      <x:c r="C19" s="27" t="n">
        <x:v>1</x:v>
      </x:c>
      <x:c r="D19" s="27" t="n">
        <x:v>1</x:v>
      </x:c>
      <x:c r="E19" s="28" t="n">
        <x:v>35000</x:v>
      </x:c>
      <x:c r="F19" s="29" t="n">
        <x:f>ROUNDUP(C19/D19,0)</x:f>
        <x:v>1</x:v>
      </x:c>
      <x:c r="G19" s="29" t="n">
        <x:f>IF(E19="","",E19*F19)</x:f>
        <x:v>35000</x:v>
      </x:c>
      <x:c r="H19" s="27" t="str">
        <x:v>https://icdayroi.com/de-test-board-bread-board-mb-102-loai-tot</x:v>
      </x:c>
      <x:c r="I19" s="27" t="str">
        <x:v>MB-102 830 lỗ. Kiểm tra các thanh nguồn có bị ngắt giữa board. Có thể cần bo lỗ nhỏ cho nút và thêm breadboard khi đi đủ 14 nút.</x:v>
      </x:c>
    </x:row>
    <x:row r="20" ht="76" customHeight="1">
      <x:c r="A20" s="27" t="str">
        <x:v>Dụng cụ</x:v>
      </x:c>
      <x:c r="B20" s="27" t="str">
        <x:v>Dây jumper đực–đực 2,54mm + dây ngắn</x:v>
      </x:c>
      <x:c r="C20" s="27" t="n">
        <x:v>40</x:v>
      </x:c>
      <x:c r="D20" s="27" t="n">
        <x:v>40</x:v>
      </x:c>
      <x:c r="E20" s="28"/>
      <x:c r="F20" s="29" t="n">
        <x:f>ROUNDUP(C20/D20,0)</x:f>
        <x:v>1</x:v>
      </x:c>
      <x:c r="G20" s="29" t="str">
        <x:f>IF(E20="","",E20*F20)</x:f>
      </x:c>
      <x:c r="H20" s="27" t="str">
        <x:v>https://caka.vn/day-cam-breadboard</x:v>
      </x:c>
      <x:c r="I20" s="27" t="str">
        <x:v>Chưa chốt giá/biến thể. Đi dây gọn, không bỏ trống chi phí này khi mua mới.</x:v>
      </x:c>
    </x:row>
    <x:row r="21" ht="76" customHeight="1">
      <x:c r="A21" s="27" t="str">
        <x:v>Dụng cụ</x:v>
      </x:c>
      <x:c r="B21" s="27" t="str">
        <x:v>Header đực 2,54mm (2×12 cho MCU)</x:v>
      </x:c>
      <x:c r="C21" s="27" t="n">
        <x:v>24</x:v>
      </x:c>
      <x:c r="D21" s="27" t="n">
        <x:v>40</x:v>
      </x:c>
      <x:c r="E21" s="28" t="n">
        <x:v>1000</x:v>
      </x:c>
      <x:c r="F21" s="29" t="n">
        <x:f>ROUNDUP(C21/D21,0)</x:f>
        <x:v>1</x:v>
      </x:c>
      <x:c r="G21" s="29" t="n">
        <x:f>IF(E21="","",E21*F21)</x:f>
        <x:v>1000</x:v>
      </x:c>
      <x:c r="H21" s="27" t="str">
        <x:v>https://icdayroi.com/header-1x40-2-54mm-male</x:v>
      </x:c>
      <x:c r="I21" s="27" t="str">
        <x:v>Một thanh 40 chân thẳng, lấy 2×12 cho SuperMini. Breadboard cắm tháo được; PCB Rev J hàn cố định trên chân thấp.</x:v>
      </x:c>
    </x:row>
    <x:row r="22">
      <x:c r="A22" s="26"/>
      <x:c r="B22" s="26"/>
      <x:c r="C22" s="26"/>
      <x:c r="D22" s="26"/>
      <x:c r="E22" s="30"/>
      <x:c r="F22" s="30"/>
      <x:c r="G22" s="30"/>
      <x:c r="H22" s="26"/>
      <x:c r="I22" s="26"/>
    </x:row>
    <x:row r="23" ht="38" customHeight="1">
      <x:c r="A23" s="31" t="str">
        <x:v>Tổng các dòng đã có giá (chưa phải tổng mua đầy đủ)</x:v>
      </x:c>
      <x:c r="B23" s="31"/>
      <x:c r="C23" s="31"/>
      <x:c r="D23" s="31"/>
      <x:c r="E23" s="32"/>
      <x:c r="F23" s="32"/>
      <x:c r="G23" s="32" t="n">
        <x:f>SUM(G6:G21)</x:f>
        <x:v>249760</x:v>
      </x:c>
      <x:c r="H23" s="31" t="str">
        <x:v>Thiếu giá dây/header, bo nút, USB, vận chuyển.</x:v>
      </x:c>
      <x:c r="I23" s="31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</x:row>
    <x:row r="25" ht="38" customHeight="1">
      <x:c r="A25" s="27" t="str">
        <x:v>BOM thử riêng; chân cắm không thay trực tiếp footprint SMD. Tổng mua gói test cộng thêm nếu mua song song linh kiện PCB.</x:v>
      </x:c>
      <x:c r="B25" s="27"/>
      <x:c r="C25" s="27"/>
      <x:c r="D25" s="27"/>
      <x:c r="E25" s="27"/>
      <x:c r="F25" s="27"/>
      <x:c r="G25" s="27"/>
      <x:c r="H25" s="27"/>
      <x:c r="I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</x:row>
    <x:row r="27" ht="38" customHeight="1">
      <x:c r="A27" s="27" t="str">
        <x:v>Nguồn AA Rev J: module boost USB 0,9–5V lên 5V; không dùng MT3608. Dùng cùng module với PCB, nhưng PNP/LED thử có thể làm dòng pin khác.</x:v>
      </x:c>
      <x:c r="B27" s="27"/>
      <x:c r="C27" s="27"/>
      <x:c r="D27" s="27"/>
      <x:c r="E27" s="27"/>
      <x:c r="F27" s="27"/>
      <x:c r="G27" s="27"/>
      <x:c r="H27" s="27"/>
      <x:c r="I27" s="27"/>
    </x:row>
    <x:row r="28" ht="38" customHeight="1">
      <x:c r="A28" s="27" t="str">
        <x:v>Khay AA không có công tắc; cần SW15. Switch bước 3mm: dùng bo lỗ/adapter và dây, không ép vào breadboard 2,54mm.</x:v>
      </x:c>
      <x:c r="B28" s="27"/>
      <x:c r="C28" s="27"/>
      <x:c r="D28" s="27"/>
      <x:c r="E28" s="27"/>
      <x:c r="F28" s="27"/>
      <x:c r="G28" s="27"/>
      <x:c r="H28" s="27"/>
      <x:c r="I28" s="27"/>
    </x:row>
    <x:row r="30">
      <x:c r="A30" s="35" t="str">
        <x:v>Vị trí</x:v>
      </x:c>
      <x:c r="B30" s="35" t="str">
        <x:v>Linh kiện chân cắm</x:v>
      </x:c>
      <x:c r="C30" s="35" t="str">
        <x:v>SL dùng</x:v>
      </x:c>
      <x:c r="D30" s="35" t="str">
        <x:v>SL/gói mua</x:v>
      </x:c>
      <x:c r="E30" s="35" t="str">
        <x:v>Giá/gói (đ)</x:v>
      </x:c>
      <x:c r="F30" s="35" t="str">
        <x:v>Số gói</x:v>
      </x:c>
      <x:c r="G30" s="35" t="str">
        <x:v>Tiền mua (đ)</x:v>
      </x:c>
      <x:c r="H30" s="35" t="str">
        <x:v>Link mua</x:v>
      </x:c>
      <x:c r="I30" s="35" t="str">
        <x:v>Lưu ý thay thế</x:v>
      </x:c>
    </x:row>
    <x:row r="31" ht="76" customHeight="1">
      <x:c r="A31" s="27" t="str">
        <x:v>BT1</x:v>
      </x:c>
      <x:c r="B31" s="27" t="str">
        <x:v>Khay hở 2AA có dây IC2410</x:v>
      </x:c>
      <x:c r="C31" s="27" t="n">
        <x:v>1</x:v>
      </x:c>
      <x:c r="D31" s="27" t="n">
        <x:v>1</x:v>
      </x:c>
      <x:c r="E31" s="28" t="n">
        <x:v>3420</x:v>
      </x:c>
      <x:c r="F31" s="29" t="n">
        <x:f>ROUNDUP(C31/D31,0)</x:f>
        <x:v>1</x:v>
      </x:c>
      <x:c r="G31" s="29" t="n">
        <x:f>E31*F31</x:f>
        <x:v>3420</x:v>
      </x:c>
      <x:c r="H31" s="27" t="str">
        <x:v>https://www.thegioiic.com/hop-pin-khay-pin-2xaa-day-noi-dai-15cm</x:v>
      </x:c>
      <x:c r="I31" s="27" t="str">
        <x:v>Khay 57,5×30×12,5mm theo shop; pin AA Ø14,5mm nhô cao. Đo cả cụm khi lắp pin. Đỏ BAT+, đen GND. Có thể dùng chung khay với PCB khi thử.</x:v>
      </x:c>
    </x:row>
    <x:row r="32" ht="76" customHeight="1">
      <x:c r="A32" s="27" t="str">
        <x:v>SW15</x:v>
      </x:c>
      <x:c r="B32" s="27" t="str">
        <x:v>SS-12F23G4 gạt ngang, 3 tiếp điểm + 2 chân giữ</x:v>
      </x:c>
      <x:c r="C32" s="27" t="n">
        <x:v>1</x:v>
      </x:c>
      <x:c r="D32" s="27" t="n">
        <x:v>10</x:v>
      </x:c>
      <x:c r="E32" s="28" t="n">
        <x:v>8550</x:v>
      </x:c>
      <x:c r="F32" s="29" t="n">
        <x:f>ROUNDUP(C32/D32,0)</x:f>
        <x:v>1</x:v>
      </x:c>
      <x:c r="G32" s="29" t="n">
        <x:f>E32*F32</x:f>
        <x:v>8550</x:v>
      </x:c>
      <x:c r="H32" s="27" t="str">
        <x:v>https://www.thegioiic.com/ss-12f23g4-cong-tac-truot-5-chan-xuyen-lo-on-off-chinh-ngang-1p2t-2a</x:v>
      </x:c>
      <x:c r="I32" s="27" t="str">
        <x:v>Bước 3mm. Pad2 COM, pad3 ON; pad1 trống. Hai chân giữ không nối điện. Mua tối thiểu 10, bội 5.</x:v>
      </x:c>
    </x:row>
    <x:row r="33" ht="76" customHeight="1">
      <x:c r="A33" s="27" t="str">
        <x:v>Pin</x:v>
      </x:c>
      <x:c r="B33" s="27" t="str">
        <x:v>Voniko AA alkaline LR6 1,5V, vỉ 2</x:v>
      </x:c>
      <x:c r="C33" s="27" t="n">
        <x:v>2</x:v>
      </x:c>
      <x:c r="D33" s="27" t="n">
        <x:v>2</x:v>
      </x:c>
      <x:c r="E33" s="28" t="n">
        <x:v>19600</x:v>
      </x:c>
      <x:c r="F33" s="29" t="n">
        <x:f>ROUNDUP(C33/D33,0)</x:f>
        <x:v>1</x:v>
      </x:c>
      <x:c r="G33" s="29" t="n">
        <x:f>E33*F33</x:f>
        <x:v>19600</x:v>
      </x:c>
      <x:c r="H33" s="27" t="str">
        <x:v>https://www.thegioiic.com/vi-2-vien-pin-kiem-alkaline-aa-lr6-2pk-voniko-1-5v</x:v>
      </x:c>
      <x:c r="I33" s="27" t="str">
        <x:v>Thay cả cặp; không sạc. Nếu dùng chung bộ pin PCB, đặt giá dòng này về 0.</x:v>
      </x:c>
    </x:row>
    <x:row r="34" ht="76" customHeight="1">
      <x:c r="A34" s="27" t="str">
        <x:v>U1</x:v>
      </x:c>
      <x:c r="B34" s="27" t="str">
        <x:v>Module boost 0,9–5V lên 5V USB</x:v>
      </x:c>
      <x:c r="C34" s="27" t="n">
        <x:v>1</x:v>
      </x:c>
      <x:c r="D34" s="27" t="n">
        <x:v>1</x:v>
      </x:c>
      <x:c r="E34" s="28" t="n">
        <x:v>10000</x:v>
      </x:c>
      <x:c r="F34" s="29" t="n">
        <x:f>ROUNDUP(C34/D34,0)</x:f>
        <x:v>1</x:v>
      </x:c>
      <x:c r="G34" s="29" t="n">
        <x:f>F34*E34</x:f>
        <x:v>10000</x:v>
      </x:c>
      <x:c r="H34" s="42" t="str">
        <x:v>https://icdayroi.com/mach-nguon-tang-ap-dc-0-9-5v-sang-5v-usb</x:v>
      </x:c>
      <x:c r="I34" s="27" t="str">
        <x:v>U1 như PCB Rev J; không có chân cắm chuẩn breadboard. Đấu IN bằng dây, output qua USB-A; đo 5V trước nối nRF.</x:v>
      </x:c>
    </x:row>
    <x:row r="35" ht="76" customHeight="1">
      <x:c r="A35" s="27" t="str">
        <x:v>J4</x:v>
      </x:c>
      <x:c r="B35" s="27" t="str">
        <x:v>Dây USB-C đực 2 lõi 75mm IC41762</x:v>
      </x:c>
      <x:c r="C35" s="27" t="n">
        <x:v>1</x:v>
      </x:c>
      <x:c r="D35" s="27" t="n">
        <x:v>1</x:v>
      </x:c>
      <x:c r="E35" s="28" t="n">
        <x:v>7980</x:v>
      </x:c>
      <x:c r="F35" s="29" t="n">
        <x:f>ROUNDUP(C35/D35,0)</x:f>
        <x:v>1</x:v>
      </x:c>
      <x:c r="G35" s="29" t="n">
        <x:f>E35*F35</x:f>
        <x:v>7980</x:v>
      </x:c>
      <x:c r="H35" s="27" t="str">
        <x:v>https://www.thegioiic.com/day-cap-usb-type-c-duc-2-chan-dai-75mm</x:v>
      </x:c>
      <x:c r="I35" s="27" t="str">
        <x:v>OUT+ boost vào dây VBUS, OUT− GND. Đo thông mạch, rút dây nguồn pin trước cắm PC.</x:v>
      </x:c>
    </x:row>
    <x:row r="36" ht="100" customHeight="1">
      <x:c r="A36" s="38" t="str">
        <x:v>J6 / dây J5</x:v>
      </x:c>
      <x:c r="B36" s="39" t="str">
        <x:v>Dây USB-A đực tới XH2.54 2 chân, 50cm</x:v>
      </x:c>
      <x:c r="C36" s="39" t="n">
        <x:v>1</x:v>
      </x:c>
      <x:c r="D36" s="39" t="n">
        <x:v>1</x:v>
      </x:c>
      <x:c r="E36" s="40" t="n">
        <x:v>26220</x:v>
      </x:c>
      <x:c r="F36" s="41" t="n">
        <x:f>ROUNDUP(C36/D36,0)</x:f>
        <x:v>1</x:v>
      </x:c>
      <x:c r="G36" s="41" t="n">
        <x:f>F36*E36</x:f>
        <x:v>26220</x:v>
      </x:c>
      <x:c r="H36" s="42" t="str">
        <x:v>https://www.thegioiic.com/day-usb-type-a-duc-noi-xh2-54-2-chan-dai-50cm</x:v>
      </x:c>
      <x:c r="I36" s="39" t="str">
        <x:v>Cắt bỏ XH, dùng dây đỏ VBUS và đen GND vào hai dây J4 USB-C; đo cực. Đoạn dây dư dùng nối IN module.</x:v>
      </x:c>
    </x:row>
    <x:row r="37" ht="50" customHeight="1">
      <x:c r="A37" s="31" t="str">
        <x:v>Tổng bộ nguồn AA tùy chọn (chưa gồm bo adapter/dây)</x:v>
      </x:c>
      <x:c r="B37" s="31"/>
      <x:c r="C37" s="31"/>
      <x:c r="D37" s="31"/>
      <x:c r="E37" s="32"/>
      <x:c r="F37" s="32"/>
      <x:c r="G37" s="32" t="n">
        <x:f>SUM(G31:G36)</x:f>
        <x:v>75770</x:v>
      </x:c>
      <x:c r="H37" s="31" t="str">
        <x:v>Chưa gồm Q1/adapter, bo nút, dây jumper và vận chuyển.</x:v>
      </x:c>
      <x:c r="I37" s="31"/>
    </x:row>
    <x:row r="39">
      <x:c r="A39" s="27" t="str">
        <x:v>PCB Rev J dùng U1 module USB ngoài bo, không cần TPS61099/L1/R19/R20. Để kiểm Q1 dùng AO3401A trên adapter/PCB. Không có firmware hoặc đo thời lượng pin.</x:v>
      </x:c>
      <x:c r="B39" s="27"/>
      <x:c r="C39" s="27"/>
      <x:c r="D39" s="27"/>
      <x:c r="E39" s="27"/>
      <x:c r="F39" s="27"/>
      <x:c r="G39" s="27"/>
      <x:c r="H39" s="27"/>
      <x:c r="I39" s="27"/>
    </x:row>
  </x:sheetData>
  <x:mergeCells>
    <x:mergeCell ref="A2:I2"/>
    <x:mergeCell ref="A3:I3"/>
    <x:mergeCell ref="A23:F23"/>
    <x:mergeCell ref="H23:I23"/>
    <x:mergeCell ref="A25:I25"/>
    <x:mergeCell ref="A27:I27"/>
    <x:mergeCell ref="A28:I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3" hidden="0" customWidth="1"/>
    <x:col min="3" max="3" width="86" hidden="0" customWidth="1"/>
  </x:cols>
  <x:sheetData>
    <x:row r="2">
      <x:c r="A2" s="25" t="str">
        <x:v>Đấu breadboard và phạm vi kiểm tra</x:v>
      </x:c>
      <x:c r="B2" s="26"/>
      <x:c r="C2" s="26"/>
    </x:row>
    <x:row r="3">
      <x:c r="A3" s="26"/>
      <x:c r="B3" s="26"/>
      <x:c r="C3" s="26"/>
    </x:row>
    <x:row r="4">
      <x:c r="A4" s="26"/>
      <x:c r="B4" s="26"/>
      <x:c r="C4" s="26"/>
    </x:row>
    <x:row r="5" ht="32" customHeight="1">
      <x:c r="A5" s="35" t="str">
        <x:v>Bước / linh kiện</x:v>
      </x:c>
      <x:c r="B5" s="35" t="str">
        <x:v>Cách đấu hoặc thay thế</x:v>
      </x:c>
      <x:c r="C5" s="35" t="str">
        <x:v>Giới hạn / nguồn</x:v>
      </x:c>
    </x:row>
    <x:row r="6" ht="91" customHeight="1">
      <x:c r="A6" s="27" t="str">
        <x:v>1. Cấp nguồn</x:v>
      </x:c>
      <x:c r="B6" s="27" t="str">
        <x:v>Cắm USB vào SuperMini. Dùng VCC của chính module cho LED và transistor, nối chung GND. B+ để trống. Đo VCC trước khi lắp hiển thị.</x:v>
      </x:c>
      <x:c r="C6" s="27" t="str">
        <x:v>Giữ pinout schematic Rev J. Không cấp 5V vào VCC/GPIO. USB thử bỏ qua nguồn pin và SW15.</x:v>
      </x:c>
    </x:row>
    <x:row r="7" ht="91" customHeight="1">
      <x:c r="A7" s="27" t="str">
        <x:v>2. Q2/Q3 dùng 2N3906</x:v>
      </x:c>
      <x:c r="B7" s="27" t="str">
        <x:v>E vào VCC; C vào anode chung digit; B qua 1kΩ tới DIG1_EN/DIG2_EN. 100kΩ từ B lên E. GPIO thấp bật digit, cao tắt.</x:v>
      </x:c>
      <x:c r="C7" s="27" t="str">
        <x:v>onsemi: pin 1 E, 2 B, 3 C theo bản vẽ TO-92, phải kiểm tra hướng nhìn và mẫu hãng. https://www.onsemi.com/pdf/datasheet/2n3906-d.pdf</x:v>
      </x:c>
    </x:row>
    <x:row r="8" ht="91" customHeight="1">
      <x:c r="A8" s="27" t="str">
        <x:v>3. Dòng điều khiển PNP</x:v>
      </x:c>
      <x:c r="B8" s="27" t="str">
        <x:v>Ở VCC=3,3V, giả định VBE≈0,8V và VOL≈0,2V, dòng base≈(3,3−0,8−0,2)/1k=2,3mA. Chọn cấu hình drive GPIO đủ sink dòng, đo VOL. Thử một đoạn/digit trước.</x:v>
      </x:c>
      <x:c r="C8" s="27" t="str">
        <x:v>PNP có sụt VCE và dòng base nên độ sáng/dòng pin khác MOSFET. Nếu cần so đúng PCB, giữ AO3401A trên adapter SOT-23 → header 2,54mm.</x:v>
      </x:c>
    </x:row>
    <x:row r="9" ht="91" customHeight="1">
      <x:c r="A9" s="27" t="str">
        <x:v>4. LED 3261BS</x:v>
      </x:c>
      <x:c r="B9" s="27" t="str">
        <x:v>1 G; 2 DP không dùng; 3 A; 4 F; 5 CA2; 6 D; 7 E; 8 C; 9 B; 10 CA1. A–G mỗi nhánh qua 470Ω.</x:v>
      </x:c>
      <x:c r="C9" s="27" t="str">
        <x:v>Tụ hóa C5 lọc rail logic. C1 có thể thử radial cùng giá trị; không dùng kết quả bố trí breadboard thay cho kiểm ripple trên PCB.</x:v>
      </x:c>
    </x:row>
    <x:row r="10" ht="91" customHeight="1">
      <x:c r="A10" s="27" t="str">
        <x:v>5. Tụ C2/C5</x:v>
      </x:c>
      <x:c r="B10" s="27" t="str">
        <x:v>100nF và 10µF đặt sát VCC/GND. Tụ hóa: + VCC, − GND.</x:v>
      </x:c>
      <x:c r="C10" s="27" t="str">
        <x:v>Tụ hóa chỉ dùng lọc rail logic trong bản USB; không thay C1/C3/C4 MLCC của TPS61099 chỉ vì cùng µF.</x:v>
      </x:c>
    </x:row>
    <x:row r="11" ht="91" customHeight="1">
      <x:c r="A11" s="27" t="str">
        <x:v>6. Nút nhấn 2 chân</x:v>
      </x:c>
      <x:c r="B11" s="27" t="str">
        <x:v>14 nút 2 chân NO theo ma trận Rev J. Nút breadboard khác footprint IC3236 trên PCB.</x:v>
      </x:c>
      <x:c r="C11" s="27" t="str">
        <x:v>Bước chân chưa xác minh: nếu không vừa breadboard, hàn hai dây/header hoặc dùng bo lỗ nhỏ. Nút test không dùng footprint IC3236 trên PCB.</x:v>
      </x:c>
    </x:row>
    <x:row r="12" ht="91" customHeight="1">
      <x:c r="A12" s="27" t="str">
        <x:v>7. Firmware quét</x:v>
      </x:c>
      <x:c r="B12" s="27" t="str">
        <x:v>Ban đầu tắt cả digit, đặt đoạn rồi bật đúng một digit. Hàng phím không chọn để input. Kiểm tra từng phím, bấm giữ và ghosting, rồi BLE.</x:v>
      </x:c>
      <x:c r="C12" s="27" t="str">
        <x:v>Chưa có firmware trong project. Hướng dẫn này không xác nhận chức năng đã chạy trên phần cứng.</x:v>
      </x:c>
    </x:row>
    <x:row r="13" ht="91" customHeight="1">
      <x:c r="A13" s="27" t="str">
        <x:v>U1 module boost USB</x:v>
      </x:c>
      <x:c r="B13" s="27" t="str">
        <x:v>IN+ từ AA qua SW15 và Q1; IN− GND. USB-A đực output module: VBUS/GND nối dây J4 USB-C.</x:v>
      </x:c>
      <x:c r="C13" s="27" t="str">
        <x:v>Không có chân module chuẩn breadboard. https://icdayroi.com/mach-nguon-tang-ap-dc-0-9-5v-sang-5v-usb</x:v>
      </x:c>
    </x:row>
    <x:row r="14" ht="91" customHeight="1">
      <x:c r="A14" s="27" t="str">
        <x:v>U1 TPS61099, L1, R19/R20</x:v>
      </x:c>
      <x:c r="B14" s="27" t="str">
        <x:v>Không có TPS61099 bản DIP. Thử đúng nguồn bằng PCB nhỏ/EVM có đúng IC và cấu hình 5,016V, loop SW/tụ đặt sát.</x:v>
      </x:c>
      <x:c r="C14" s="27" t="str">
        <x:v>Với EVM, xác nhận IC và cấu hình điện áp trước khi dùng; không mặc định đầu ra là 5V. https://www.ti.com/tool/TPS61099EVM-023</x:v>
      </x:c>
    </x:row>
    <x:row r="15" ht="91" customHeight="1">
      <x:c r="A15" s="27" t="str">
        <x:v>Nguồn pin Rev J</x:v>
      </x:c>
      <x:c r="B15" s="27" t="str">
        <x:v>2AA → SW15 pad2 COM → pad3 → Q1 AO3401A → IN+ module boost. AA− → GND. Output USB 5V → cáp USB-C nRF.</x:v>
      </x:c>
      <x:c r="C15" s="27" t="str">
        <x:v>Q1 cần adapter SOT-23. Nếu bỏ Q1 khi thử thì chưa kiểm chống ngược pin. Không nối B+ hoặc 5V vào VCC.</x:v>
      </x:c>
    </x:row>
    <x:row r="16" ht="91" customHeight="1">
      <x:c r="A16" s="27" t="str">
        <x:v>C1; C3/C4 đã bỏ</x:v>
      </x:c>
      <x:c r="B16" s="27" t="str">
        <x:v>C1 22µF ở đầu vào module. Bộ test có thể thêm tụ 22µF radial, + IN+, − GND.</x:v>
      </x:c>
      <x:c r="C16" s="27" t="str">
        <x:v>Tụ radial là vật tư thêm chưa nằm trong tổng nguồn; không còn khối TPS61099.</x:v>
      </x:c>
    </x:row>
    <x:row r="17" ht="91" customHeight="1">
      <x:c r="A17" s="27" t="str">
        <x:v>C1/C3/C4 nếu cần tụ chân cắm</x:v>
      </x:c>
      <x:c r="B17" s="27" t="str">
        <x:v>22µF 16V radial tại Thế Giới IC: 399đ/con, tối thiểu 20, bội 10 (giá tham khảo).</x:v>
      </x:c>
      <x:c r="C17" s="27" t="str">
        <x:v>Không được chọn tụ hóa này làm thay thế điện tương đương cho MLCC boost mà chưa kiểm ESR/ripple/layout. https://www.thegioiic.com/tu-hoa-22uf-16v-4x8mm-xuyen-lo</x:v>
      </x:c>
    </x:row>
    <x:row r="18" ht="91" customHeight="1">
      <x:c r="A18" s="27" t="str">
        <x:v>Ngân sách</x:v>
      </x:c>
      <x:c r="B18" s="27" t="str">
        <x:v>Tổng BOM test là mua tròn gói. Nếu đã có MCU/LED/breadboard, đặt giá gói tương ứng về 0 để tính tiền mua thêm.</x:v>
      </x:c>
      <x:c r="C18" s="27" t="str">
        <x:v>Chưa gồm dây/header/cáp/bo nút/ship. Không cộng tổng mua gói test vào chi phí phân bổ PCB rồi gọi là 1 clicker sản xuất.</x:v>
      </x:c>
    </x:row>
    <x:row r="19">
      <x:c r="A19" s="27" t="str">
        <x:v>SW15 và lắp thấp</x:v>
      </x:c>
      <x:c r="B19" s="27" t="str">
        <x:v>3 tiếp điểm bước 3mm, hai chân giữ cách 12,6mm. Hàn bo adapter → header 2,54mm hoặc dây ngắn. PCB dùng footprint riêng.</x:v>
      </x:c>
      <x:c r="C19" s="27" t="str">
        <x:v>Bản vẽ shop: https://file.thegioiic.com/upload/large/1343.jpg. Đo COM và ngả ON trước hàn.</x:v>
      </x:c>
    </x:row>
  </x:sheetData>
  <x:mergeCells>
    <x:mergeCell ref="A2:C2"/>
  </x:mergeCells>
  <x:pageMargins left="0.7" right="0.7" top="0.75" bottom="0.75" header="0.3" footer="0.3"/>
</x:worksheet>
</file>